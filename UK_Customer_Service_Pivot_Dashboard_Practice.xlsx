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tutedude-Shridevi\"/>
    </mc:Choice>
  </mc:AlternateContent>
  <xr:revisionPtr revIDLastSave="0" documentId="13_ncr:1_{9337D6ED-6A06-43E5-AAFA-B7AB65F9F303}" xr6:coauthVersionLast="47" xr6:coauthVersionMax="47" xr10:uidLastSave="{00000000-0000-0000-0000-000000000000}"/>
  <bookViews>
    <workbookView xWindow="-108" yWindow="-108" windowWidth="23256" windowHeight="12456" firstSheet="3" activeTab="6" xr2:uid="{00000000-000D-0000-FFFF-FFFF00000000}"/>
  </bookViews>
  <sheets>
    <sheet name="START HERE" sheetId="1" r:id="rId1"/>
    <sheet name="City-Wise Tickets Pivot Table" sheetId="4" r:id="rId2"/>
    <sheet name="Pivot Table-Tickets by Team an" sheetId="6" r:id="rId3"/>
    <sheet name="SLA Performance by Service Team" sheetId="7" r:id="rId4"/>
    <sheet name="KPI Summary" sheetId="8" r:id="rId5"/>
    <sheet name="Support Tickets" sheetId="2" r:id="rId6"/>
    <sheet name="Customer Service Dashboard" sheetId="3" r:id="rId7"/>
  </sheets>
  <definedNames>
    <definedName name="Slicer_City">#N/A</definedName>
    <definedName name="Slicer_Priority">#N/A</definedName>
  </definedNames>
  <calcPr calcId="191029"/>
  <pivotCaches>
    <pivotCache cacheId="12"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3" l="1"/>
  <c r="K4" i="3"/>
  <c r="G4" i="3"/>
</calcChain>
</file>

<file path=xl/sharedStrings.xml><?xml version="1.0" encoding="utf-8"?>
<sst xmlns="http://schemas.openxmlformats.org/spreadsheetml/2006/main" count="2276" uniqueCount="361">
  <si>
    <t>UK Customer Service Performance | Excel Portfolio Project</t>
  </si>
  <si>
    <t>PROJECT BRIEF</t>
  </si>
  <si>
    <t>Scenario</t>
  </si>
  <si>
    <t>You are a junior Data Analyst supporting a fictional UK customer-service operation.</t>
  </si>
  <si>
    <t>Your role</t>
  </si>
  <si>
    <t>Use ONLY Pivot Tables, Pivot Charts, Slicers and KPI summaries to analyse ticket performance.</t>
  </si>
  <si>
    <t>Data ethics</t>
  </si>
  <si>
    <t>All 240 records and names are SYNTHETIC practice data, not actual UK company data.</t>
  </si>
  <si>
    <t>Project goal</t>
  </si>
  <si>
    <t>Create a new GitHub repository called uk-customer-service-excel-dashboard.</t>
  </si>
  <si>
    <t>Step 1</t>
  </si>
  <si>
    <t>Insert a Pivot Table from the Support Tickets table in a NEW worksheet.</t>
  </si>
  <si>
    <t>Step 2</t>
  </si>
  <si>
    <t>Rows = City; Values = Sum of Ticket Count and Average of Resolution Hours.</t>
  </si>
  <si>
    <t>Step 3</t>
  </si>
  <si>
    <t>Build a second Pivot Table: Rows = Service Team; Values = Sum of Ticket Count.</t>
  </si>
  <si>
    <t>Step 4</t>
  </si>
  <si>
    <t>Build a third Pivot Table: Rows = SLA Status; Values = Sum of Ticket Count.</t>
  </si>
  <si>
    <t>Step 5</t>
  </si>
  <si>
    <t>Create Pivot Charts: tickets by city, team workload, SLA Met vs Missed.</t>
  </si>
  <si>
    <t>Step 6</t>
  </si>
  <si>
    <t>Create three KPI Pivot Tables: Sum of Ticket Count, Sum of SLA Met Count, Average Customer Satisfaction.</t>
  </si>
  <si>
    <t>Step 7</t>
  </si>
  <si>
    <t>Use Report Connections to connect Region, Priority, and Channel Slicers to compatible Pivot Tables.</t>
  </si>
  <si>
    <t>Step 8</t>
  </si>
  <si>
    <t>Link KPI values to a Dashboard Workspace and arrange charts and Slicers.</t>
  </si>
  <si>
    <t>Step 9</t>
  </si>
  <si>
    <t>Clear slicer filters, save the completed .xlsx, capture a dashboard PNG.</t>
  </si>
  <si>
    <t>Step 10</t>
  </si>
  <si>
    <t>Upload workbook, PNG and README.md to your NEW GitHub repository.</t>
  </si>
  <si>
    <t>Important</t>
  </si>
  <si>
    <t>For a ticket count, use Sum of Ticket Count (each row has 1), NOT Sum of Resolution Hours.</t>
  </si>
  <si>
    <t>SLA Met Count counts only tickets that met target; filter-driven SLA rate can be calculated later.</t>
  </si>
  <si>
    <t>CHECK YOUR UNFILTERED TOTALS</t>
  </si>
  <si>
    <t>Total tickets</t>
  </si>
  <si>
    <t>Tickets meeting SLA</t>
  </si>
  <si>
    <t>Tickets missing SLA</t>
  </si>
  <si>
    <t>Average satisfaction (approx.)</t>
  </si>
  <si>
    <t>Ticket ID</t>
  </si>
  <si>
    <t>Opened Date</t>
  </si>
  <si>
    <t>Month</t>
  </si>
  <si>
    <t>City</t>
  </si>
  <si>
    <t>Region</t>
  </si>
  <si>
    <t>Service Team</t>
  </si>
  <si>
    <t>Contact Channel</t>
  </si>
  <si>
    <t>Priority</t>
  </si>
  <si>
    <t>Agent</t>
  </si>
  <si>
    <t>Resolution Hours</t>
  </si>
  <si>
    <t>SLA Target Hours</t>
  </si>
  <si>
    <t>SLA Status</t>
  </si>
  <si>
    <t>Customer Satisfaction (1-5)</t>
  </si>
  <si>
    <t>Ticket Count</t>
  </si>
  <si>
    <t>SLA Met Count</t>
  </si>
  <si>
    <t>UKT-0001</t>
  </si>
  <si>
    <t>Mar 2026</t>
  </si>
  <si>
    <t>London</t>
  </si>
  <si>
    <t>South East</t>
  </si>
  <si>
    <t>Delivery Support</t>
  </si>
  <si>
    <t>Email</t>
  </si>
  <si>
    <t>Medium</t>
  </si>
  <si>
    <t>Riya</t>
  </si>
  <si>
    <t>Missed</t>
  </si>
  <si>
    <t>UKT-0002</t>
  </si>
  <si>
    <t>May 2026</t>
  </si>
  <si>
    <t>Bristol</t>
  </si>
  <si>
    <t>South West</t>
  </si>
  <si>
    <t>Technical Support</t>
  </si>
  <si>
    <t>Web Form</t>
  </si>
  <si>
    <t>Daniel</t>
  </si>
  <si>
    <t>Met</t>
  </si>
  <si>
    <t>UKT-0003</t>
  </si>
  <si>
    <t>Feb 2026</t>
  </si>
  <si>
    <t>Birmingham</t>
  </si>
  <si>
    <t>Midlands</t>
  </si>
  <si>
    <t>Account Services</t>
  </si>
  <si>
    <t>Phone</t>
  </si>
  <si>
    <t>Alex</t>
  </si>
  <si>
    <t>UKT-0004</t>
  </si>
  <si>
    <t>Billing</t>
  </si>
  <si>
    <t>Live Chat</t>
  </si>
  <si>
    <t>Taylor</t>
  </si>
  <si>
    <t>UKT-0005</t>
  </si>
  <si>
    <t>Apr 2026</t>
  </si>
  <si>
    <t>Morgan</t>
  </si>
  <si>
    <t>UKT-0006</t>
  </si>
  <si>
    <t>Jan 2026</t>
  </si>
  <si>
    <t>High</t>
  </si>
  <si>
    <t>Jordan</t>
  </si>
  <si>
    <t>UKT-0007</t>
  </si>
  <si>
    <t>Leeds</t>
  </si>
  <si>
    <t>Yorkshire</t>
  </si>
  <si>
    <t>UKT-0008</t>
  </si>
  <si>
    <t>Low</t>
  </si>
  <si>
    <t>UKT-0009</t>
  </si>
  <si>
    <t>Reading</t>
  </si>
  <si>
    <t>UKT-0010</t>
  </si>
  <si>
    <t>Cardiff</t>
  </si>
  <si>
    <t>Wales</t>
  </si>
  <si>
    <t>UKT-0011</t>
  </si>
  <si>
    <t>Glasgow</t>
  </si>
  <si>
    <t>Scotland</t>
  </si>
  <si>
    <t>UKT-0012</t>
  </si>
  <si>
    <t>UKT-0013</t>
  </si>
  <si>
    <t>UKT-0014</t>
  </si>
  <si>
    <t>Jun 2026</t>
  </si>
  <si>
    <t>UKT-0015</t>
  </si>
  <si>
    <t>Manchester</t>
  </si>
  <si>
    <t>North West</t>
  </si>
  <si>
    <t>UKT-0016</t>
  </si>
  <si>
    <t>Sam</t>
  </si>
  <si>
    <t>UKT-0017</t>
  </si>
  <si>
    <t>Aisha</t>
  </si>
  <si>
    <t>UKT-0018</t>
  </si>
  <si>
    <t>UKT-0019</t>
  </si>
  <si>
    <t>UKT-0020</t>
  </si>
  <si>
    <t>Oliver</t>
  </si>
  <si>
    <t>UKT-0021</t>
  </si>
  <si>
    <t>UKT-0022</t>
  </si>
  <si>
    <t>UKT-0023</t>
  </si>
  <si>
    <t>Priya</t>
  </si>
  <si>
    <t>UKT-0024</t>
  </si>
  <si>
    <t>Urgent</t>
  </si>
  <si>
    <t>UKT-0025</t>
  </si>
  <si>
    <t>UKT-0026</t>
  </si>
  <si>
    <t>UKT-0027</t>
  </si>
  <si>
    <t>UKT-0028</t>
  </si>
  <si>
    <t>UKT-0029</t>
  </si>
  <si>
    <t>UKT-0030</t>
  </si>
  <si>
    <t>UKT-0031</t>
  </si>
  <si>
    <t>UKT-0032</t>
  </si>
  <si>
    <t>UKT-0033</t>
  </si>
  <si>
    <t>UKT-0034</t>
  </si>
  <si>
    <t>UKT-0035</t>
  </si>
  <si>
    <t>UKT-0036</t>
  </si>
  <si>
    <t>UKT-0037</t>
  </si>
  <si>
    <t>UKT-0038</t>
  </si>
  <si>
    <t>UKT-0039</t>
  </si>
  <si>
    <t>UKT-0040</t>
  </si>
  <si>
    <t>UKT-0041</t>
  </si>
  <si>
    <t>UKT-0042</t>
  </si>
  <si>
    <t>UKT-0043</t>
  </si>
  <si>
    <t>UKT-0044</t>
  </si>
  <si>
    <t>UKT-0045</t>
  </si>
  <si>
    <t>UKT-0046</t>
  </si>
  <si>
    <t>UKT-0047</t>
  </si>
  <si>
    <t>UKT-0048</t>
  </si>
  <si>
    <t>UKT-0049</t>
  </si>
  <si>
    <t>UKT-0050</t>
  </si>
  <si>
    <t>UKT-0051</t>
  </si>
  <si>
    <t>UKT-0052</t>
  </si>
  <si>
    <t>UKT-0053</t>
  </si>
  <si>
    <t>UKT-0054</t>
  </si>
  <si>
    <t>UKT-0055</t>
  </si>
  <si>
    <t>UKT-0056</t>
  </si>
  <si>
    <t>UKT-0057</t>
  </si>
  <si>
    <t>UKT-0058</t>
  </si>
  <si>
    <t>UKT-0059</t>
  </si>
  <si>
    <t>UKT-0060</t>
  </si>
  <si>
    <t>UKT-0061</t>
  </si>
  <si>
    <t>UKT-0062</t>
  </si>
  <si>
    <t>UKT-0063</t>
  </si>
  <si>
    <t>UKT-0064</t>
  </si>
  <si>
    <t>UKT-0065</t>
  </si>
  <si>
    <t>UKT-0066</t>
  </si>
  <si>
    <t>UKT-0067</t>
  </si>
  <si>
    <t>UKT-0068</t>
  </si>
  <si>
    <t>UKT-0069</t>
  </si>
  <si>
    <t>UKT-0070</t>
  </si>
  <si>
    <t>UKT-0071</t>
  </si>
  <si>
    <t>UKT-0072</t>
  </si>
  <si>
    <t>UKT-0073</t>
  </si>
  <si>
    <t>UKT-0074</t>
  </si>
  <si>
    <t>UKT-0075</t>
  </si>
  <si>
    <t>UKT-0076</t>
  </si>
  <si>
    <t>UKT-0077</t>
  </si>
  <si>
    <t>UKT-0078</t>
  </si>
  <si>
    <t>UKT-0079</t>
  </si>
  <si>
    <t>UKT-0080</t>
  </si>
  <si>
    <t>UKT-0081</t>
  </si>
  <si>
    <t>UKT-0082</t>
  </si>
  <si>
    <t>UKT-0083</t>
  </si>
  <si>
    <t>UKT-0084</t>
  </si>
  <si>
    <t>UKT-0085</t>
  </si>
  <si>
    <t>UKT-0086</t>
  </si>
  <si>
    <t>UKT-0087</t>
  </si>
  <si>
    <t>UKT-0088</t>
  </si>
  <si>
    <t>UKT-0089</t>
  </si>
  <si>
    <t>UKT-0090</t>
  </si>
  <si>
    <t>UKT-0091</t>
  </si>
  <si>
    <t>UKT-0092</t>
  </si>
  <si>
    <t>UKT-0093</t>
  </si>
  <si>
    <t>UKT-0094</t>
  </si>
  <si>
    <t>UKT-0095</t>
  </si>
  <si>
    <t>UKT-0096</t>
  </si>
  <si>
    <t>UKT-0097</t>
  </si>
  <si>
    <t>UKT-0098</t>
  </si>
  <si>
    <t>UKT-0099</t>
  </si>
  <si>
    <t>UKT-0100</t>
  </si>
  <si>
    <t>UKT-0101</t>
  </si>
  <si>
    <t>UKT-0102</t>
  </si>
  <si>
    <t>UKT-0103</t>
  </si>
  <si>
    <t>UKT-0104</t>
  </si>
  <si>
    <t>UKT-0105</t>
  </si>
  <si>
    <t>UKT-0106</t>
  </si>
  <si>
    <t>UKT-0107</t>
  </si>
  <si>
    <t>UKT-0108</t>
  </si>
  <si>
    <t>UKT-0109</t>
  </si>
  <si>
    <t>UKT-0110</t>
  </si>
  <si>
    <t>UKT-0111</t>
  </si>
  <si>
    <t>UKT-0112</t>
  </si>
  <si>
    <t>UKT-0113</t>
  </si>
  <si>
    <t>UKT-0114</t>
  </si>
  <si>
    <t>UKT-0115</t>
  </si>
  <si>
    <t>UKT-0116</t>
  </si>
  <si>
    <t>UKT-0117</t>
  </si>
  <si>
    <t>UKT-0118</t>
  </si>
  <si>
    <t>UKT-0119</t>
  </si>
  <si>
    <t>UKT-0120</t>
  </si>
  <si>
    <t>UKT-0121</t>
  </si>
  <si>
    <t>UKT-0122</t>
  </si>
  <si>
    <t>UKT-0123</t>
  </si>
  <si>
    <t>UKT-0124</t>
  </si>
  <si>
    <t>UKT-0125</t>
  </si>
  <si>
    <t>UKT-0126</t>
  </si>
  <si>
    <t>UKT-0127</t>
  </si>
  <si>
    <t>UKT-0128</t>
  </si>
  <si>
    <t>UKT-0129</t>
  </si>
  <si>
    <t>UKT-0130</t>
  </si>
  <si>
    <t>UKT-0131</t>
  </si>
  <si>
    <t>UKT-0132</t>
  </si>
  <si>
    <t>UKT-0133</t>
  </si>
  <si>
    <t>UKT-0134</t>
  </si>
  <si>
    <t>UKT-0135</t>
  </si>
  <si>
    <t>UKT-0136</t>
  </si>
  <si>
    <t>UKT-0137</t>
  </si>
  <si>
    <t>UKT-0138</t>
  </si>
  <si>
    <t>UKT-0139</t>
  </si>
  <si>
    <t>UKT-0140</t>
  </si>
  <si>
    <t>UKT-0141</t>
  </si>
  <si>
    <t>UKT-0142</t>
  </si>
  <si>
    <t>UKT-0143</t>
  </si>
  <si>
    <t>UKT-0144</t>
  </si>
  <si>
    <t>UKT-0145</t>
  </si>
  <si>
    <t>UKT-0146</t>
  </si>
  <si>
    <t>UKT-0147</t>
  </si>
  <si>
    <t>UKT-0148</t>
  </si>
  <si>
    <t>UKT-0149</t>
  </si>
  <si>
    <t>UKT-0150</t>
  </si>
  <si>
    <t>UKT-0151</t>
  </si>
  <si>
    <t>UKT-0152</t>
  </si>
  <si>
    <t>UKT-0153</t>
  </si>
  <si>
    <t>UKT-0154</t>
  </si>
  <si>
    <t>UKT-0155</t>
  </si>
  <si>
    <t>UKT-0156</t>
  </si>
  <si>
    <t>UKT-0157</t>
  </si>
  <si>
    <t>UKT-0158</t>
  </si>
  <si>
    <t>UKT-0159</t>
  </si>
  <si>
    <t>UKT-0160</t>
  </si>
  <si>
    <t>UKT-0161</t>
  </si>
  <si>
    <t>UKT-0162</t>
  </si>
  <si>
    <t>UKT-0163</t>
  </si>
  <si>
    <t>UKT-0164</t>
  </si>
  <si>
    <t>UKT-0165</t>
  </si>
  <si>
    <t>UKT-0166</t>
  </si>
  <si>
    <t>UKT-0167</t>
  </si>
  <si>
    <t>UKT-0168</t>
  </si>
  <si>
    <t>UKT-0169</t>
  </si>
  <si>
    <t>UKT-0170</t>
  </si>
  <si>
    <t>UKT-0171</t>
  </si>
  <si>
    <t>UKT-0172</t>
  </si>
  <si>
    <t>UKT-0173</t>
  </si>
  <si>
    <t>UKT-0174</t>
  </si>
  <si>
    <t>UKT-0175</t>
  </si>
  <si>
    <t>UKT-0176</t>
  </si>
  <si>
    <t>UKT-0177</t>
  </si>
  <si>
    <t>UKT-0178</t>
  </si>
  <si>
    <t>UKT-0179</t>
  </si>
  <si>
    <t>UKT-0180</t>
  </si>
  <si>
    <t>UKT-0181</t>
  </si>
  <si>
    <t>UKT-0182</t>
  </si>
  <si>
    <t>UKT-0183</t>
  </si>
  <si>
    <t>UKT-0184</t>
  </si>
  <si>
    <t>UKT-0185</t>
  </si>
  <si>
    <t>UKT-0186</t>
  </si>
  <si>
    <t>UKT-0187</t>
  </si>
  <si>
    <t>UKT-0188</t>
  </si>
  <si>
    <t>UKT-0189</t>
  </si>
  <si>
    <t>UKT-0190</t>
  </si>
  <si>
    <t>UKT-0191</t>
  </si>
  <si>
    <t>UKT-0192</t>
  </si>
  <si>
    <t>UKT-0193</t>
  </si>
  <si>
    <t>UKT-0194</t>
  </si>
  <si>
    <t>UKT-0195</t>
  </si>
  <si>
    <t>UKT-0196</t>
  </si>
  <si>
    <t>UKT-0197</t>
  </si>
  <si>
    <t>UKT-0198</t>
  </si>
  <si>
    <t>UKT-0199</t>
  </si>
  <si>
    <t>UKT-0200</t>
  </si>
  <si>
    <t>UKT-0201</t>
  </si>
  <si>
    <t>UKT-0202</t>
  </si>
  <si>
    <t>UKT-0203</t>
  </si>
  <si>
    <t>UKT-0204</t>
  </si>
  <si>
    <t>UKT-0205</t>
  </si>
  <si>
    <t>UKT-0206</t>
  </si>
  <si>
    <t>UKT-0207</t>
  </si>
  <si>
    <t>UKT-0208</t>
  </si>
  <si>
    <t>UKT-0209</t>
  </si>
  <si>
    <t>UKT-0210</t>
  </si>
  <si>
    <t>UKT-0211</t>
  </si>
  <si>
    <t>UKT-0212</t>
  </si>
  <si>
    <t>UKT-0213</t>
  </si>
  <si>
    <t>UKT-0214</t>
  </si>
  <si>
    <t>UKT-0215</t>
  </si>
  <si>
    <t>UKT-0216</t>
  </si>
  <si>
    <t>UKT-0217</t>
  </si>
  <si>
    <t>UKT-0218</t>
  </si>
  <si>
    <t>UKT-0219</t>
  </si>
  <si>
    <t>UKT-0220</t>
  </si>
  <si>
    <t>UKT-0221</t>
  </si>
  <si>
    <t>UKT-0222</t>
  </si>
  <si>
    <t>UKT-0223</t>
  </si>
  <si>
    <t>UKT-0224</t>
  </si>
  <si>
    <t>UKT-0225</t>
  </si>
  <si>
    <t>UKT-0226</t>
  </si>
  <si>
    <t>UKT-0227</t>
  </si>
  <si>
    <t>UKT-0228</t>
  </si>
  <si>
    <t>UKT-0229</t>
  </si>
  <si>
    <t>UKT-0230</t>
  </si>
  <si>
    <t>UKT-0231</t>
  </si>
  <si>
    <t>UKT-0232</t>
  </si>
  <si>
    <t>UKT-0233</t>
  </si>
  <si>
    <t>UKT-0234</t>
  </si>
  <si>
    <t>UKT-0235</t>
  </si>
  <si>
    <t>UKT-0236</t>
  </si>
  <si>
    <t>UKT-0237</t>
  </si>
  <si>
    <t>UKT-0238</t>
  </si>
  <si>
    <t>UKT-0239</t>
  </si>
  <si>
    <t>UKT-0240</t>
  </si>
  <si>
    <t>UK CUSTOMER SERVICE | INTERACTIVE DASHBOARD</t>
  </si>
  <si>
    <t>TOTAL TICKETS</t>
  </si>
  <si>
    <t>SLA MET TICKETS</t>
  </si>
  <si>
    <t>AVG SATISFACTION</t>
  </si>
  <si>
    <t>Link to Pivot Table</t>
  </si>
  <si>
    <t>Place your Pivot Charts and Slicers below. Do not paste slicers as pictures.</t>
  </si>
  <si>
    <t>Row Labels</t>
  </si>
  <si>
    <t>Grand Total</t>
  </si>
  <si>
    <t>Count of Ticket ID</t>
  </si>
  <si>
    <t>Column Labels</t>
  </si>
  <si>
    <t>What is SLA?</t>
  </si>
  <si>
    <t>SLA = Service Level Agreement.</t>
  </si>
  <si>
    <t>In simple words, an SLA is a promise to complete a service within an agreed time.</t>
  </si>
  <si>
    <t>For example, a company promises to resolve a customer complaint within 24 hours. If it resolves the complaint within that time, the SLA is Met. Otherwise, it is Breached.</t>
  </si>
  <si>
    <t>Our business question is:</t>
  </si>
  <si>
    <t>Which customer service teams are meeting their SLA targets, and which are missing them?</t>
  </si>
  <si>
    <t>Add a City Slicer</t>
  </si>
  <si>
    <t>What is a City Slicer?</t>
  </si>
  <si>
    <t>A City Slicer allows you to click a city, such as London or Reading, and see only the customer service data for that location.</t>
  </si>
  <si>
    <t>For example, clicking London can show how many tickets came from London, which teams handled them, and their SLA performance.</t>
  </si>
  <si>
    <t>Total Count of Ticket ID</t>
  </si>
  <si>
    <t>Total Average of Customer Satisfaction (1-5)</t>
  </si>
  <si>
    <t>Average of Customer Satisfaction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</si>
</sst>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 mmm\ yyyy"/>
    <numFmt numFmtId="165" formatCode="0.0"/>
  </numFmts>
  <fonts count="9">
    <font>
      <sz val="11"/>
      <name val="Carlito"/>
    </font>
    <font>
      <b/>
      <sz val="11"/>
      <color rgb="FFFFFFFF"/>
      <name val="Carlito"/>
    </font>
    <font>
      <b/>
      <sz val="17"/>
      <color rgb="FFFFFFFF"/>
      <name val="Carlito"/>
    </font>
    <font>
      <b/>
      <sz val="11"/>
      <color rgb="FF153B59"/>
      <name val="Carlito"/>
    </font>
    <font>
      <b/>
      <sz val="11"/>
      <name val="Carlito"/>
    </font>
    <font>
      <b/>
      <sz val="18"/>
      <color rgb="FFFFFFFF"/>
      <name val="Carlito"/>
    </font>
    <font>
      <sz val="11"/>
      <color rgb="FF4A6275"/>
      <name val="Carlito"/>
    </font>
    <font>
      <b/>
      <sz val="13.5"/>
      <name val="Carlito"/>
    </font>
    <font>
      <b/>
      <sz val="18"/>
      <name val="Carlito"/>
    </font>
  </fonts>
  <fills count="4">
    <fill>
      <patternFill patternType="none"/>
    </fill>
    <fill>
      <patternFill patternType="gray125"/>
    </fill>
    <fill>
      <patternFill patternType="solid">
        <fgColor rgb="FF153B59"/>
      </patternFill>
    </fill>
    <fill>
      <patternFill patternType="solid">
        <fgColor rgb="FFDCECF5"/>
      </patternFill>
    </fill>
  </fills>
  <borders count="1">
    <border>
      <left/>
      <right/>
      <top/>
      <bottom/>
      <diagonal/>
    </border>
  </borders>
  <cellStyleXfs count="1">
    <xf numFmtId="0" fontId="0" fillId="0" borderId="0"/>
  </cellStyleXfs>
  <cellXfs count="21">
    <xf numFmtId="0" fontId="0" fillId="0" borderId="0" xfId="0"/>
    <xf numFmtId="164" fontId="0" fillId="0" borderId="0" xfId="0" applyNumberFormat="1"/>
    <xf numFmtId="165" fontId="0" fillId="0" borderId="0" xfId="0" applyNumberFormat="1"/>
    <xf numFmtId="0" fontId="1" fillId="2" borderId="0" xfId="0" applyFont="1" applyFill="1" applyAlignment="1">
      <alignment wrapText="1"/>
    </xf>
    <xf numFmtId="0" fontId="3" fillId="0" borderId="0" xfId="0" applyFont="1"/>
    <xf numFmtId="0" fontId="0" fillId="0" borderId="0" xfId="0" applyAlignment="1">
      <alignment wrapText="1"/>
    </xf>
    <xf numFmtId="0" fontId="4" fillId="0" borderId="0" xfId="0" applyFont="1"/>
    <xf numFmtId="2" fontId="0" fillId="0" borderId="0" xfId="0" applyNumberFormat="1"/>
    <xf numFmtId="0" fontId="6" fillId="0" borderId="0" xfId="0" applyFont="1"/>
    <xf numFmtId="0" fontId="2" fillId="2" borderId="0" xfId="0" applyFont="1" applyFill="1"/>
    <xf numFmtId="0" fontId="3" fillId="3" borderId="0" xfId="0" applyFont="1" applyFill="1"/>
    <xf numFmtId="0" fontId="5" fillId="2" borderId="0" xfId="0" applyFont="1" applyFill="1"/>
    <xf numFmtId="0" fontId="0" fillId="0" borderId="0" xfId="0" pivotButton="1"/>
    <xf numFmtId="0" fontId="0" fillId="0" borderId="0" xfId="0" applyAlignment="1">
      <alignment horizontal="left"/>
    </xf>
    <xf numFmtId="0" fontId="0" fillId="0" borderId="0" xfId="0" applyNumberFormat="1"/>
    <xf numFmtId="0" fontId="7" fillId="0" borderId="0" xfId="0" applyFont="1" applyAlignment="1">
      <alignment vertical="center"/>
    </xf>
    <xf numFmtId="10" fontId="0" fillId="0" borderId="0" xfId="0" applyNumberFormat="1"/>
    <xf numFmtId="0" fontId="0" fillId="0" borderId="0" xfId="0" applyAlignment="1">
      <alignment horizontal="left"/>
    </xf>
    <xf numFmtId="0" fontId="8" fillId="0" borderId="0" xfId="0" applyFont="1" applyAlignment="1">
      <alignment vertical="center"/>
    </xf>
    <xf numFmtId="0" fontId="3" fillId="3" borderId="0" xfId="0" applyFont="1" applyFill="1" applyAlignment="1"/>
    <xf numFmtId="2" fontId="3" fillId="3" borderId="0" xfId="0" applyNumberFormat="1" applyFont="1" applyFill="1" applyAlignment="1"/>
  </cellXfs>
  <cellStyles count="1">
    <cellStyle name="Normal" xfId="0" builtinId="0"/>
  </cellStyles>
  <dxfs count="1">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[UK_Customer_Service_Pivot_Dashboard_Practice.xlsx]Pivot Table-Tickets by Team an!PivotTable3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Customer Service Tickets by Team and Priority — 2026</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Table-Tickets by Team an'!$B$3:$B$4</c:f>
              <c:strCache>
                <c:ptCount val="1"/>
                <c:pt idx="0">
                  <c:v>High</c:v>
                </c:pt>
              </c:strCache>
            </c:strRef>
          </c:tx>
          <c:spPr>
            <a:solidFill>
              <a:schemeClr val="accent1"/>
            </a:solidFill>
            <a:ln>
              <a:noFill/>
            </a:ln>
            <a:effectLst/>
          </c:spPr>
          <c:invertIfNegative val="0"/>
          <c:cat>
            <c:strRef>
              <c:f>'Pivot Table-Tickets by Team an'!$A$5:$A$9</c:f>
              <c:strCache>
                <c:ptCount val="4"/>
                <c:pt idx="0">
                  <c:v>Account Services</c:v>
                </c:pt>
                <c:pt idx="1">
                  <c:v>Billing</c:v>
                </c:pt>
                <c:pt idx="2">
                  <c:v>Delivery Support</c:v>
                </c:pt>
                <c:pt idx="3">
                  <c:v>Technical Support</c:v>
                </c:pt>
              </c:strCache>
            </c:strRef>
          </c:cat>
          <c:val>
            <c:numRef>
              <c:f>'Pivot Table-Tickets by Team an'!$B$5:$B$9</c:f>
              <c:numCache>
                <c:formatCode>General</c:formatCode>
                <c:ptCount val="4"/>
                <c:pt idx="0">
                  <c:v>13</c:v>
                </c:pt>
                <c:pt idx="1">
                  <c:v>16</c:v>
                </c:pt>
                <c:pt idx="2">
                  <c:v>11</c:v>
                </c:pt>
                <c:pt idx="3">
                  <c:v>14</c:v>
                </c:pt>
              </c:numCache>
            </c:numRef>
          </c:val>
          <c:extLst>
            <c:ext xmlns:c16="http://schemas.microsoft.com/office/drawing/2014/chart" uri="{C3380CC4-5D6E-409C-BE32-E72D297353CC}">
              <c16:uniqueId val="{00000000-8550-40FF-BEA2-BD339C34F12F}"/>
            </c:ext>
          </c:extLst>
        </c:ser>
        <c:ser>
          <c:idx val="1"/>
          <c:order val="1"/>
          <c:tx>
            <c:strRef>
              <c:f>'Pivot Table-Tickets by Team an'!$C$3:$C$4</c:f>
              <c:strCache>
                <c:ptCount val="1"/>
                <c:pt idx="0">
                  <c:v>Low</c:v>
                </c:pt>
              </c:strCache>
            </c:strRef>
          </c:tx>
          <c:spPr>
            <a:solidFill>
              <a:schemeClr val="accent2"/>
            </a:solidFill>
            <a:ln>
              <a:noFill/>
            </a:ln>
            <a:effectLst/>
          </c:spPr>
          <c:invertIfNegative val="0"/>
          <c:cat>
            <c:strRef>
              <c:f>'Pivot Table-Tickets by Team an'!$A$5:$A$9</c:f>
              <c:strCache>
                <c:ptCount val="4"/>
                <c:pt idx="0">
                  <c:v>Account Services</c:v>
                </c:pt>
                <c:pt idx="1">
                  <c:v>Billing</c:v>
                </c:pt>
                <c:pt idx="2">
                  <c:v>Delivery Support</c:v>
                </c:pt>
                <c:pt idx="3">
                  <c:v>Technical Support</c:v>
                </c:pt>
              </c:strCache>
            </c:strRef>
          </c:cat>
          <c:val>
            <c:numRef>
              <c:f>'Pivot Table-Tickets by Team an'!$C$5:$C$9</c:f>
              <c:numCache>
                <c:formatCode>General</c:formatCode>
                <c:ptCount val="4"/>
                <c:pt idx="0">
                  <c:v>12</c:v>
                </c:pt>
                <c:pt idx="1">
                  <c:v>14</c:v>
                </c:pt>
                <c:pt idx="2">
                  <c:v>13</c:v>
                </c:pt>
                <c:pt idx="3">
                  <c:v>10</c:v>
                </c:pt>
              </c:numCache>
            </c:numRef>
          </c:val>
          <c:extLst>
            <c:ext xmlns:c16="http://schemas.microsoft.com/office/drawing/2014/chart" uri="{C3380CC4-5D6E-409C-BE32-E72D297353CC}">
              <c16:uniqueId val="{0000000E-8550-40FF-BEA2-BD339C34F12F}"/>
            </c:ext>
          </c:extLst>
        </c:ser>
        <c:ser>
          <c:idx val="2"/>
          <c:order val="2"/>
          <c:tx>
            <c:strRef>
              <c:f>'Pivot Table-Tickets by Team an'!$D$3:$D$4</c:f>
              <c:strCache>
                <c:ptCount val="1"/>
                <c:pt idx="0">
                  <c:v>Medium</c:v>
                </c:pt>
              </c:strCache>
            </c:strRef>
          </c:tx>
          <c:spPr>
            <a:solidFill>
              <a:schemeClr val="accent3"/>
            </a:solidFill>
            <a:ln>
              <a:noFill/>
            </a:ln>
            <a:effectLst/>
          </c:spPr>
          <c:invertIfNegative val="0"/>
          <c:cat>
            <c:strRef>
              <c:f>'Pivot Table-Tickets by Team an'!$A$5:$A$9</c:f>
              <c:strCache>
                <c:ptCount val="4"/>
                <c:pt idx="0">
                  <c:v>Account Services</c:v>
                </c:pt>
                <c:pt idx="1">
                  <c:v>Billing</c:v>
                </c:pt>
                <c:pt idx="2">
                  <c:v>Delivery Support</c:v>
                </c:pt>
                <c:pt idx="3">
                  <c:v>Technical Support</c:v>
                </c:pt>
              </c:strCache>
            </c:strRef>
          </c:cat>
          <c:val>
            <c:numRef>
              <c:f>'Pivot Table-Tickets by Team an'!$D$5:$D$9</c:f>
              <c:numCache>
                <c:formatCode>General</c:formatCode>
                <c:ptCount val="4"/>
                <c:pt idx="0">
                  <c:v>33</c:v>
                </c:pt>
                <c:pt idx="1">
                  <c:v>37</c:v>
                </c:pt>
                <c:pt idx="2">
                  <c:v>31</c:v>
                </c:pt>
                <c:pt idx="3">
                  <c:v>22</c:v>
                </c:pt>
              </c:numCache>
            </c:numRef>
          </c:val>
          <c:extLst>
            <c:ext xmlns:c16="http://schemas.microsoft.com/office/drawing/2014/chart" uri="{C3380CC4-5D6E-409C-BE32-E72D297353CC}">
              <c16:uniqueId val="{0000000F-8550-40FF-BEA2-BD339C34F12F}"/>
            </c:ext>
          </c:extLst>
        </c:ser>
        <c:ser>
          <c:idx val="3"/>
          <c:order val="3"/>
          <c:tx>
            <c:strRef>
              <c:f>'Pivot Table-Tickets by Team an'!$E$3:$E$4</c:f>
              <c:strCache>
                <c:ptCount val="1"/>
                <c:pt idx="0">
                  <c:v>Urgent</c:v>
                </c:pt>
              </c:strCache>
            </c:strRef>
          </c:tx>
          <c:spPr>
            <a:solidFill>
              <a:schemeClr val="accent4"/>
            </a:solidFill>
            <a:ln>
              <a:noFill/>
            </a:ln>
            <a:effectLst/>
          </c:spPr>
          <c:invertIfNegative val="0"/>
          <c:cat>
            <c:strRef>
              <c:f>'Pivot Table-Tickets by Team an'!$A$5:$A$9</c:f>
              <c:strCache>
                <c:ptCount val="4"/>
                <c:pt idx="0">
                  <c:v>Account Services</c:v>
                </c:pt>
                <c:pt idx="1">
                  <c:v>Billing</c:v>
                </c:pt>
                <c:pt idx="2">
                  <c:v>Delivery Support</c:v>
                </c:pt>
                <c:pt idx="3">
                  <c:v>Technical Support</c:v>
                </c:pt>
              </c:strCache>
            </c:strRef>
          </c:cat>
          <c:val>
            <c:numRef>
              <c:f>'Pivot Table-Tickets by Team an'!$E$5:$E$9</c:f>
              <c:numCache>
                <c:formatCode>General</c:formatCode>
                <c:ptCount val="4"/>
                <c:pt idx="0">
                  <c:v>2</c:v>
                </c:pt>
                <c:pt idx="1">
                  <c:v>2</c:v>
                </c:pt>
                <c:pt idx="2">
                  <c:v>7</c:v>
                </c:pt>
                <c:pt idx="3">
                  <c:v>3</c:v>
                </c:pt>
              </c:numCache>
            </c:numRef>
          </c:val>
          <c:extLst>
            <c:ext xmlns:c16="http://schemas.microsoft.com/office/drawing/2014/chart" uri="{C3380CC4-5D6E-409C-BE32-E72D297353CC}">
              <c16:uniqueId val="{00000010-8550-40FF-BEA2-BD339C34F12F}"/>
            </c:ext>
          </c:extLst>
        </c:ser>
        <c:dLbls>
          <c:showLegendKey val="0"/>
          <c:showVal val="0"/>
          <c:showCatName val="0"/>
          <c:showSerName val="0"/>
          <c:showPercent val="0"/>
          <c:showBubbleSize val="0"/>
        </c:dLbls>
        <c:gapWidth val="219"/>
        <c:overlap val="100"/>
        <c:axId val="1336654192"/>
        <c:axId val="1336641232"/>
      </c:barChart>
      <c:catAx>
        <c:axId val="133665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641232"/>
        <c:crosses val="autoZero"/>
        <c:auto val="1"/>
        <c:lblAlgn val="ctr"/>
        <c:lblOffset val="100"/>
        <c:noMultiLvlLbl val="0"/>
      </c:catAx>
      <c:valAx>
        <c:axId val="1336641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65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[UK_Customer_Service_Pivot_Dashboard_Practice.xlsx]SLA Performance by Service Team!PivotTable4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SLA Compliance by Service Team — 2026</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'SLA Performance by Service Team'!$B$3:$B$4</c:f>
              <c:strCache>
                <c:ptCount val="1"/>
                <c:pt idx="0">
                  <c:v>Met</c:v>
                </c:pt>
              </c:strCache>
            </c:strRef>
          </c:tx>
          <c:spPr>
            <a:solidFill>
              <a:schemeClr val="accent1"/>
            </a:solidFill>
            <a:ln>
              <a:noFill/>
            </a:ln>
            <a:effectLst/>
          </c:spPr>
          <c:invertIfNegative val="0"/>
          <c:cat>
            <c:strRef>
              <c:f>'SLA Performance by Service Team'!$A$5:$A$9</c:f>
              <c:strCache>
                <c:ptCount val="4"/>
                <c:pt idx="0">
                  <c:v>Account Services</c:v>
                </c:pt>
                <c:pt idx="1">
                  <c:v>Billing</c:v>
                </c:pt>
                <c:pt idx="2">
                  <c:v>Delivery Support</c:v>
                </c:pt>
                <c:pt idx="3">
                  <c:v>Technical Support</c:v>
                </c:pt>
              </c:strCache>
            </c:strRef>
          </c:cat>
          <c:val>
            <c:numRef>
              <c:f>'SLA Performance by Service Team'!$B$5:$B$9</c:f>
              <c:numCache>
                <c:formatCode>0.00%</c:formatCode>
                <c:ptCount val="4"/>
                <c:pt idx="0">
                  <c:v>0.68333333333333335</c:v>
                </c:pt>
                <c:pt idx="1">
                  <c:v>0.66666666666666663</c:v>
                </c:pt>
                <c:pt idx="2">
                  <c:v>0.66129032258064513</c:v>
                </c:pt>
                <c:pt idx="3">
                  <c:v>0.46938775510204084</c:v>
                </c:pt>
              </c:numCache>
            </c:numRef>
          </c:val>
          <c:extLst>
            <c:ext xmlns:c16="http://schemas.microsoft.com/office/drawing/2014/chart" uri="{C3380CC4-5D6E-409C-BE32-E72D297353CC}">
              <c16:uniqueId val="{00000000-5330-4014-B9C3-4F11ADA83A4C}"/>
            </c:ext>
          </c:extLst>
        </c:ser>
        <c:ser>
          <c:idx val="1"/>
          <c:order val="1"/>
          <c:tx>
            <c:strRef>
              <c:f>'SLA Performance by Service Team'!$C$3:$C$4</c:f>
              <c:strCache>
                <c:ptCount val="1"/>
                <c:pt idx="0">
                  <c:v>Missed</c:v>
                </c:pt>
              </c:strCache>
            </c:strRef>
          </c:tx>
          <c:spPr>
            <a:solidFill>
              <a:schemeClr val="accent2"/>
            </a:solidFill>
            <a:ln>
              <a:noFill/>
            </a:ln>
            <a:effectLst/>
          </c:spPr>
          <c:invertIfNegative val="0"/>
          <c:cat>
            <c:strRef>
              <c:f>'SLA Performance by Service Team'!$A$5:$A$9</c:f>
              <c:strCache>
                <c:ptCount val="4"/>
                <c:pt idx="0">
                  <c:v>Account Services</c:v>
                </c:pt>
                <c:pt idx="1">
                  <c:v>Billing</c:v>
                </c:pt>
                <c:pt idx="2">
                  <c:v>Delivery Support</c:v>
                </c:pt>
                <c:pt idx="3">
                  <c:v>Technical Support</c:v>
                </c:pt>
              </c:strCache>
            </c:strRef>
          </c:cat>
          <c:val>
            <c:numRef>
              <c:f>'SLA Performance by Service Team'!$C$5:$C$9</c:f>
              <c:numCache>
                <c:formatCode>0.00%</c:formatCode>
                <c:ptCount val="4"/>
                <c:pt idx="0">
                  <c:v>0.31666666666666665</c:v>
                </c:pt>
                <c:pt idx="1">
                  <c:v>0.33333333333333331</c:v>
                </c:pt>
                <c:pt idx="2">
                  <c:v>0.33870967741935482</c:v>
                </c:pt>
                <c:pt idx="3">
                  <c:v>0.53061224489795922</c:v>
                </c:pt>
              </c:numCache>
            </c:numRef>
          </c:val>
          <c:extLst>
            <c:ext xmlns:c16="http://schemas.microsoft.com/office/drawing/2014/chart" uri="{C3380CC4-5D6E-409C-BE32-E72D297353CC}">
              <c16:uniqueId val="{00000003-5330-4014-B9C3-4F11ADA83A4C}"/>
            </c:ext>
          </c:extLst>
        </c:ser>
        <c:dLbls>
          <c:showLegendKey val="0"/>
          <c:showVal val="0"/>
          <c:showCatName val="0"/>
          <c:showSerName val="0"/>
          <c:showPercent val="0"/>
          <c:showBubbleSize val="0"/>
        </c:dLbls>
        <c:gapWidth val="219"/>
        <c:overlap val="100"/>
        <c:axId val="1336543792"/>
        <c:axId val="1336560592"/>
      </c:barChart>
      <c:catAx>
        <c:axId val="1336543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560592"/>
        <c:crosses val="autoZero"/>
        <c:auto val="1"/>
        <c:lblAlgn val="ctr"/>
        <c:lblOffset val="100"/>
        <c:noMultiLvlLbl val="0"/>
      </c:catAx>
      <c:valAx>
        <c:axId val="13365605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543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[UK_Customer_Service_Pivot_Dashboard_Practice.xlsx]City-Wise Tickets 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Customer Service Tickets by UK City — 2026</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'City-Wise Tickets 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'City-Wise Tickets Pivot Table'!$A$4:$A$12</c:f>
              <c:strCache>
                <c:ptCount val="8"/>
                <c:pt idx="0">
                  <c:v>Birmingham</c:v>
                </c:pt>
                <c:pt idx="1">
                  <c:v>Bristol</c:v>
                </c:pt>
                <c:pt idx="2">
                  <c:v>Cardiff</c:v>
                </c:pt>
                <c:pt idx="3">
                  <c:v>Glasgow</c:v>
                </c:pt>
                <c:pt idx="4">
                  <c:v>Leeds</c:v>
                </c:pt>
                <c:pt idx="5">
                  <c:v>London</c:v>
                </c:pt>
                <c:pt idx="6">
                  <c:v>Manchester</c:v>
                </c:pt>
                <c:pt idx="7">
                  <c:v>Reading</c:v>
                </c:pt>
              </c:strCache>
            </c:strRef>
          </c:cat>
          <c:val>
            <c:numRef>
              <c:f>'City-Wise Tickets Pivot Table'!$B$4:$B$12</c:f>
              <c:numCache>
                <c:formatCode>General</c:formatCode>
                <c:ptCount val="8"/>
                <c:pt idx="0">
                  <c:v>36</c:v>
                </c:pt>
                <c:pt idx="1">
                  <c:v>26</c:v>
                </c:pt>
                <c:pt idx="2">
                  <c:v>34</c:v>
                </c:pt>
                <c:pt idx="3">
                  <c:v>33</c:v>
                </c:pt>
                <c:pt idx="4">
                  <c:v>36</c:v>
                </c:pt>
                <c:pt idx="5">
                  <c:v>30</c:v>
                </c:pt>
                <c:pt idx="6">
                  <c:v>26</c:v>
                </c:pt>
                <c:pt idx="7">
                  <c:v>19</c:v>
                </c:pt>
              </c:numCache>
            </c:numRef>
          </c:val>
          <c:extLst>
            <c:ext xmlns:c16="http://schemas.microsoft.com/office/drawing/2014/chart" uri="{C3380CC4-5D6E-409C-BE32-E72D297353CC}">
              <c16:uniqueId val="{00000000-5E91-4B55-B344-699000C7FF50}"/>
            </c:ext>
          </c:extLst>
        </c:ser>
        <c:dLbls>
          <c:dLblPos val="outEnd"/>
          <c:showLegendKey val="0"/>
          <c:showVal val="1"/>
          <c:showCatName val="0"/>
          <c:showSerName val="0"/>
          <c:showPercent val="0"/>
          <c:showBubbleSize val="0"/>
        </c:dLbls>
        <c:gapWidth val="219"/>
        <c:overlap val="-27"/>
        <c:axId val="1336642672"/>
        <c:axId val="1336635952"/>
      </c:barChart>
      <c:catAx>
        <c:axId val="133664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635952"/>
        <c:crosses val="autoZero"/>
        <c:auto val="1"/>
        <c:lblAlgn val="ctr"/>
        <c:lblOffset val="100"/>
        <c:noMultiLvlLbl val="0"/>
      </c:catAx>
      <c:valAx>
        <c:axId val="1336635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64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33842</xdr:colOff>
      <xdr:row>7</xdr:row>
      <xdr:rowOff>150383</xdr:rowOff>
    </xdr:from>
    <xdr:to>
      <xdr:col>8</xdr:col>
      <xdr:colOff>719642</xdr:colOff>
      <xdr:row>23</xdr:row>
      <xdr:rowOff>85389</xdr:rowOff>
    </xdr:to>
    <xdr:graphicFrame macro="">
      <xdr:nvGraphicFramePr>
        <xdr:cNvPr id="2" name="Chart 1">
          <a:extLst>
            <a:ext uri="{FF2B5EF4-FFF2-40B4-BE49-F238E27FC236}">
              <a16:creationId xmlns:a16="http://schemas.microsoft.com/office/drawing/2014/main" id="{0AFA1706-3529-3E32-1E7C-A0F60DBD89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8</xdr:row>
      <xdr:rowOff>70939</xdr:rowOff>
    </xdr:from>
    <xdr:to>
      <xdr:col>4</xdr:col>
      <xdr:colOff>983849</xdr:colOff>
      <xdr:row>25</xdr:row>
      <xdr:rowOff>136626</xdr:rowOff>
    </xdr:to>
    <xdr:graphicFrame macro="">
      <xdr:nvGraphicFramePr>
        <xdr:cNvPr id="3" name="Chart 1">
          <a:extLst>
            <a:ext uri="{FF2B5EF4-FFF2-40B4-BE49-F238E27FC236}">
              <a16:creationId xmlns:a16="http://schemas.microsoft.com/office/drawing/2014/main" id="{05FF693A-8C16-9E76-2563-82F7A21A50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0</xdr:colOff>
      <xdr:row>8</xdr:row>
      <xdr:rowOff>0</xdr:rowOff>
    </xdr:from>
    <xdr:to>
      <xdr:col>10</xdr:col>
      <xdr:colOff>76200</xdr:colOff>
      <xdr:row>22</xdr:row>
      <xdr:rowOff>13335</xdr:rowOff>
    </xdr:to>
    <mc:AlternateContent xmlns:mc="http://schemas.openxmlformats.org/markup-compatibility/2006">
      <mc:Choice xmlns:a14="http://schemas.microsoft.com/office/drawing/2010/main" Requires="a14">
        <xdr:graphicFrame macro="">
          <xdr:nvGraphicFramePr>
            <xdr:cNvPr id="5" name="City">
              <a:extLst>
                <a:ext uri="{FF2B5EF4-FFF2-40B4-BE49-F238E27FC236}">
                  <a16:creationId xmlns:a16="http://schemas.microsoft.com/office/drawing/2014/main" id="{406D6B77-563D-42FF-83BE-B763C25657F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0948147" y="1591235"/>
              <a:ext cx="1824318" cy="25234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8</xdr:row>
      <xdr:rowOff>0</xdr:rowOff>
    </xdr:from>
    <xdr:to>
      <xdr:col>12</xdr:col>
      <xdr:colOff>764242</xdr:colOff>
      <xdr:row>21</xdr:row>
      <xdr:rowOff>136151</xdr:rowOff>
    </xdr:to>
    <mc:AlternateContent xmlns:mc="http://schemas.openxmlformats.org/markup-compatibility/2006">
      <mc:Choice xmlns:a14="http://schemas.microsoft.com/office/drawing/2010/main" Requires="a14">
        <xdr:graphicFrame macro="">
          <xdr:nvGraphicFramePr>
            <xdr:cNvPr id="6" name="Priority">
              <a:extLst>
                <a:ext uri="{FF2B5EF4-FFF2-40B4-BE49-F238E27FC236}">
                  <a16:creationId xmlns:a16="http://schemas.microsoft.com/office/drawing/2014/main" id="{F284C383-0DAF-4241-93C4-B60865000389}"/>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dr:sp macro="" textlink="">
          <xdr:nvSpPr>
            <xdr:cNvPr id="0" name=""/>
            <xdr:cNvSpPr>
              <a:spLocks noTextEdit="1"/>
            </xdr:cNvSpPr>
          </xdr:nvSpPr>
          <xdr:spPr>
            <a:xfrm>
              <a:off x="13760824" y="159123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200136</xdr:colOff>
      <xdr:row>26</xdr:row>
      <xdr:rowOff>39893</xdr:rowOff>
    </xdr:from>
    <xdr:to>
      <xdr:col>4</xdr:col>
      <xdr:colOff>627529</xdr:colOff>
      <xdr:row>41</xdr:row>
      <xdr:rowOff>93681</xdr:rowOff>
    </xdr:to>
    <xdr:graphicFrame macro="">
      <xdr:nvGraphicFramePr>
        <xdr:cNvPr id="7" name="Chart 1">
          <a:extLst>
            <a:ext uri="{FF2B5EF4-FFF2-40B4-BE49-F238E27FC236}">
              <a16:creationId xmlns:a16="http://schemas.microsoft.com/office/drawing/2014/main" id="{A9E123B5-65D4-7A3E-BED5-CE37C5B3F3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idevi Kamble" refreshedDate="46312.641993750003" createdVersion="8" refreshedVersion="8" minRefreshableVersion="3" recordCount="240" xr:uid="{99B88789-0BE0-4D99-87EC-FAC42DC6963E}">
  <cacheSource type="worksheet">
    <worksheetSource name="UKSupportTickets"/>
  </cacheSource>
  <cacheFields count="15">
    <cacheField name="Ticket ID" numFmtId="0">
      <sharedItems/>
    </cacheField>
    <cacheField name="Opened Date" numFmtId="164">
      <sharedItems containsSemiMixedTypes="0" containsNonDate="0" containsDate="1" containsString="0" minDate="2026-01-03T00:00:00" maxDate="2026-07-01T00:00:00"/>
    </cacheField>
    <cacheField name="Month" numFmtId="0">
      <sharedItems/>
    </cacheField>
    <cacheField name="City" numFmtId="0">
      <sharedItems count="8">
        <s v="London"/>
        <s v="Bristol"/>
        <s v="Birmingham"/>
        <s v="Leeds"/>
        <s v="Reading"/>
        <s v="Cardiff"/>
        <s v="Glasgow"/>
        <s v="Manchester"/>
      </sharedItems>
    </cacheField>
    <cacheField name="Region" numFmtId="0">
      <sharedItems/>
    </cacheField>
    <cacheField name="Service Team" numFmtId="0">
      <sharedItems count="4">
        <s v="Delivery Support"/>
        <s v="Technical Support"/>
        <s v="Account Services"/>
        <s v="Billing"/>
      </sharedItems>
    </cacheField>
    <cacheField name="Contact Channel" numFmtId="0">
      <sharedItems/>
    </cacheField>
    <cacheField name="Priority" numFmtId="0">
      <sharedItems count="4">
        <s v="Medium"/>
        <s v="High"/>
        <s v="Low"/>
        <s v="Urgent"/>
      </sharedItems>
    </cacheField>
    <cacheField name="Agent" numFmtId="0">
      <sharedItems/>
    </cacheField>
    <cacheField name="Resolution Hours" numFmtId="165">
      <sharedItems containsSemiMixedTypes="0" containsString="0" containsNumber="1" minValue="1" maxValue="113.7"/>
    </cacheField>
    <cacheField name="SLA Target Hours" numFmtId="165">
      <sharedItems containsSemiMixedTypes="0" containsString="0" containsNumber="1" containsInteger="1" minValue="8" maxValue="72" count="4">
        <n v="48"/>
        <n v="24"/>
        <n v="72"/>
        <n v="8"/>
      </sharedItems>
    </cacheField>
    <cacheField name="SLA Status" numFmtId="0">
      <sharedItems count="2">
        <s v="Missed"/>
        <s v="Met"/>
      </sharedItems>
    </cacheField>
    <cacheField name="Customer Satisfaction (1-5)" numFmtId="0">
      <sharedItems containsSemiMixedTypes="0" containsString="0" containsNumber="1" containsInteger="1" minValue="1" maxValue="5"/>
    </cacheField>
    <cacheField name="Ticket Count" numFmtId="0">
      <sharedItems containsSemiMixedTypes="0" containsString="0" containsNumber="1" containsInteger="1" minValue="1" maxValue="1"/>
    </cacheField>
    <cacheField name="SLA Met Count"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5928968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s v="UKT-0001"/>
    <d v="2026-03-13T00:00:00"/>
    <s v="Mar 2026"/>
    <x v="0"/>
    <s v="South East"/>
    <x v="0"/>
    <s v="Email"/>
    <x v="0"/>
    <s v="Riya"/>
    <n v="68.599999999999994"/>
    <x v="0"/>
    <x v="0"/>
    <n v="3"/>
    <n v="1"/>
    <n v="0"/>
  </r>
  <r>
    <s v="UKT-0002"/>
    <d v="2026-05-14T00:00:00"/>
    <s v="May 2026"/>
    <x v="1"/>
    <s v="South West"/>
    <x v="1"/>
    <s v="Web Form"/>
    <x v="0"/>
    <s v="Daniel"/>
    <n v="31.1"/>
    <x v="0"/>
    <x v="1"/>
    <n v="4"/>
    <n v="1"/>
    <n v="1"/>
  </r>
  <r>
    <s v="UKT-0003"/>
    <d v="2026-02-17T00:00:00"/>
    <s v="Feb 2026"/>
    <x v="2"/>
    <s v="Midlands"/>
    <x v="2"/>
    <s v="Phone"/>
    <x v="0"/>
    <s v="Alex"/>
    <n v="43.8"/>
    <x v="0"/>
    <x v="1"/>
    <n v="5"/>
    <n v="1"/>
    <n v="1"/>
  </r>
  <r>
    <s v="UKT-0004"/>
    <d v="2026-03-25T00:00:00"/>
    <s v="Mar 2026"/>
    <x v="2"/>
    <s v="Midlands"/>
    <x v="3"/>
    <s v="Live Chat"/>
    <x v="0"/>
    <s v="Taylor"/>
    <n v="25.5"/>
    <x v="0"/>
    <x v="1"/>
    <n v="4"/>
    <n v="1"/>
    <n v="1"/>
  </r>
  <r>
    <s v="UKT-0005"/>
    <d v="2026-04-08T00:00:00"/>
    <s v="Apr 2026"/>
    <x v="2"/>
    <s v="Midlands"/>
    <x v="1"/>
    <s v="Phone"/>
    <x v="0"/>
    <s v="Morgan"/>
    <n v="61.6"/>
    <x v="0"/>
    <x v="0"/>
    <n v="2"/>
    <n v="1"/>
    <n v="0"/>
  </r>
  <r>
    <s v="UKT-0006"/>
    <d v="2026-01-19T00:00:00"/>
    <s v="Jan 2026"/>
    <x v="2"/>
    <s v="Midlands"/>
    <x v="1"/>
    <s v="Live Chat"/>
    <x v="1"/>
    <s v="Jordan"/>
    <n v="35.9"/>
    <x v="1"/>
    <x v="0"/>
    <n v="2"/>
    <n v="1"/>
    <n v="0"/>
  </r>
  <r>
    <s v="UKT-0007"/>
    <d v="2026-01-10T00:00:00"/>
    <s v="Jan 2026"/>
    <x v="3"/>
    <s v="Yorkshire"/>
    <x v="2"/>
    <s v="Email"/>
    <x v="0"/>
    <s v="Taylor"/>
    <n v="75.7"/>
    <x v="0"/>
    <x v="0"/>
    <n v="4"/>
    <n v="1"/>
    <n v="0"/>
  </r>
  <r>
    <s v="UKT-0008"/>
    <d v="2026-01-21T00:00:00"/>
    <s v="Jan 2026"/>
    <x v="2"/>
    <s v="Midlands"/>
    <x v="0"/>
    <s v="Phone"/>
    <x v="2"/>
    <s v="Morgan"/>
    <n v="57.1"/>
    <x v="2"/>
    <x v="1"/>
    <n v="5"/>
    <n v="1"/>
    <n v="1"/>
  </r>
  <r>
    <s v="UKT-0009"/>
    <d v="2026-02-02T00:00:00"/>
    <s v="Feb 2026"/>
    <x v="4"/>
    <s v="South East"/>
    <x v="3"/>
    <s v="Phone"/>
    <x v="0"/>
    <s v="Alex"/>
    <n v="50.3"/>
    <x v="0"/>
    <x v="0"/>
    <n v="4"/>
    <n v="1"/>
    <n v="0"/>
  </r>
  <r>
    <s v="UKT-0010"/>
    <d v="2026-02-20T00:00:00"/>
    <s v="Feb 2026"/>
    <x v="5"/>
    <s v="Wales"/>
    <x v="1"/>
    <s v="Email"/>
    <x v="2"/>
    <s v="Daniel"/>
    <n v="63.9"/>
    <x v="2"/>
    <x v="1"/>
    <n v="2"/>
    <n v="1"/>
    <n v="1"/>
  </r>
  <r>
    <s v="UKT-0011"/>
    <d v="2026-04-26T00:00:00"/>
    <s v="Apr 2026"/>
    <x v="6"/>
    <s v="Scotland"/>
    <x v="3"/>
    <s v="Live Chat"/>
    <x v="2"/>
    <s v="Riya"/>
    <n v="100.1"/>
    <x v="2"/>
    <x v="0"/>
    <n v="2"/>
    <n v="1"/>
    <n v="0"/>
  </r>
  <r>
    <s v="UKT-0012"/>
    <d v="2026-05-17T00:00:00"/>
    <s v="May 2026"/>
    <x v="0"/>
    <s v="South East"/>
    <x v="3"/>
    <s v="Email"/>
    <x v="0"/>
    <s v="Riya"/>
    <n v="1.8"/>
    <x v="0"/>
    <x v="1"/>
    <n v="5"/>
    <n v="1"/>
    <n v="1"/>
  </r>
  <r>
    <s v="UKT-0013"/>
    <d v="2026-04-24T00:00:00"/>
    <s v="Apr 2026"/>
    <x v="5"/>
    <s v="Wales"/>
    <x v="2"/>
    <s v="Phone"/>
    <x v="0"/>
    <s v="Taylor"/>
    <n v="28.7"/>
    <x v="0"/>
    <x v="1"/>
    <n v="4"/>
    <n v="1"/>
    <n v="1"/>
  </r>
  <r>
    <s v="UKT-0014"/>
    <d v="2026-06-27T00:00:00"/>
    <s v="Jun 2026"/>
    <x v="5"/>
    <s v="Wales"/>
    <x v="2"/>
    <s v="Phone"/>
    <x v="0"/>
    <s v="Taylor"/>
    <n v="51.3"/>
    <x v="0"/>
    <x v="0"/>
    <n v="1"/>
    <n v="1"/>
    <n v="0"/>
  </r>
  <r>
    <s v="UKT-0015"/>
    <d v="2026-06-27T00:00:00"/>
    <s v="Jun 2026"/>
    <x v="7"/>
    <s v="North West"/>
    <x v="1"/>
    <s v="Phone"/>
    <x v="2"/>
    <s v="Alex"/>
    <n v="52.6"/>
    <x v="2"/>
    <x v="1"/>
    <n v="5"/>
    <n v="1"/>
    <n v="1"/>
  </r>
  <r>
    <s v="UKT-0016"/>
    <d v="2026-05-31T00:00:00"/>
    <s v="May 2026"/>
    <x v="0"/>
    <s v="South East"/>
    <x v="3"/>
    <s v="Live Chat"/>
    <x v="1"/>
    <s v="Sam"/>
    <n v="21.5"/>
    <x v="1"/>
    <x v="1"/>
    <n v="4"/>
    <n v="1"/>
    <n v="1"/>
  </r>
  <r>
    <s v="UKT-0017"/>
    <d v="2026-04-26T00:00:00"/>
    <s v="Apr 2026"/>
    <x v="6"/>
    <s v="Scotland"/>
    <x v="3"/>
    <s v="Email"/>
    <x v="1"/>
    <s v="Aisha"/>
    <n v="24.5"/>
    <x v="1"/>
    <x v="0"/>
    <n v="2"/>
    <n v="1"/>
    <n v="0"/>
  </r>
  <r>
    <s v="UKT-0018"/>
    <d v="2026-05-28T00:00:00"/>
    <s v="May 2026"/>
    <x v="7"/>
    <s v="North West"/>
    <x v="0"/>
    <s v="Live Chat"/>
    <x v="0"/>
    <s v="Jordan"/>
    <n v="27.9"/>
    <x v="0"/>
    <x v="1"/>
    <n v="4"/>
    <n v="1"/>
    <n v="1"/>
  </r>
  <r>
    <s v="UKT-0019"/>
    <d v="2026-04-28T00:00:00"/>
    <s v="Apr 2026"/>
    <x v="6"/>
    <s v="Scotland"/>
    <x v="2"/>
    <s v="Live Chat"/>
    <x v="0"/>
    <s v="Daniel"/>
    <n v="36.700000000000003"/>
    <x v="0"/>
    <x v="1"/>
    <n v="4"/>
    <n v="1"/>
    <n v="1"/>
  </r>
  <r>
    <s v="UKT-0020"/>
    <d v="2026-05-10T00:00:00"/>
    <s v="May 2026"/>
    <x v="1"/>
    <s v="South West"/>
    <x v="0"/>
    <s v="Phone"/>
    <x v="0"/>
    <s v="Oliver"/>
    <n v="22.7"/>
    <x v="0"/>
    <x v="1"/>
    <n v="2"/>
    <n v="1"/>
    <n v="1"/>
  </r>
  <r>
    <s v="UKT-0021"/>
    <d v="2026-05-14T00:00:00"/>
    <s v="May 2026"/>
    <x v="5"/>
    <s v="Wales"/>
    <x v="2"/>
    <s v="Live Chat"/>
    <x v="0"/>
    <s v="Oliver"/>
    <n v="61.5"/>
    <x v="0"/>
    <x v="0"/>
    <n v="3"/>
    <n v="1"/>
    <n v="0"/>
  </r>
  <r>
    <s v="UKT-0022"/>
    <d v="2026-04-07T00:00:00"/>
    <s v="Apr 2026"/>
    <x v="5"/>
    <s v="Wales"/>
    <x v="2"/>
    <s v="Email"/>
    <x v="1"/>
    <s v="Sam"/>
    <n v="6.1"/>
    <x v="1"/>
    <x v="1"/>
    <n v="5"/>
    <n v="1"/>
    <n v="1"/>
  </r>
  <r>
    <s v="UKT-0023"/>
    <d v="2026-05-11T00:00:00"/>
    <s v="May 2026"/>
    <x v="4"/>
    <s v="South East"/>
    <x v="3"/>
    <s v="Phone"/>
    <x v="0"/>
    <s v="Priya"/>
    <n v="27"/>
    <x v="0"/>
    <x v="1"/>
    <n v="4"/>
    <n v="1"/>
    <n v="1"/>
  </r>
  <r>
    <s v="UKT-0024"/>
    <d v="2026-04-29T00:00:00"/>
    <s v="Apr 2026"/>
    <x v="5"/>
    <s v="Wales"/>
    <x v="0"/>
    <s v="Phone"/>
    <x v="3"/>
    <s v="Jordan"/>
    <n v="5.7"/>
    <x v="3"/>
    <x v="1"/>
    <n v="4"/>
    <n v="1"/>
    <n v="1"/>
  </r>
  <r>
    <s v="UKT-0025"/>
    <d v="2026-02-14T00:00:00"/>
    <s v="Feb 2026"/>
    <x v="6"/>
    <s v="Scotland"/>
    <x v="1"/>
    <s v="Email"/>
    <x v="2"/>
    <s v="Taylor"/>
    <n v="69.7"/>
    <x v="2"/>
    <x v="1"/>
    <n v="4"/>
    <n v="1"/>
    <n v="1"/>
  </r>
  <r>
    <s v="UKT-0026"/>
    <d v="2026-06-16T00:00:00"/>
    <s v="Jun 2026"/>
    <x v="7"/>
    <s v="North West"/>
    <x v="1"/>
    <s v="Phone"/>
    <x v="1"/>
    <s v="Sam"/>
    <n v="26.1"/>
    <x v="1"/>
    <x v="0"/>
    <n v="4"/>
    <n v="1"/>
    <n v="0"/>
  </r>
  <r>
    <s v="UKT-0027"/>
    <d v="2026-02-14T00:00:00"/>
    <s v="Feb 2026"/>
    <x v="6"/>
    <s v="Scotland"/>
    <x v="0"/>
    <s v="Live Chat"/>
    <x v="0"/>
    <s v="Morgan"/>
    <n v="34.200000000000003"/>
    <x v="0"/>
    <x v="1"/>
    <n v="5"/>
    <n v="1"/>
    <n v="1"/>
  </r>
  <r>
    <s v="UKT-0028"/>
    <d v="2026-04-20T00:00:00"/>
    <s v="Apr 2026"/>
    <x v="1"/>
    <s v="South West"/>
    <x v="3"/>
    <s v="Web Form"/>
    <x v="0"/>
    <s v="Aisha"/>
    <n v="30.3"/>
    <x v="0"/>
    <x v="1"/>
    <n v="4"/>
    <n v="1"/>
    <n v="1"/>
  </r>
  <r>
    <s v="UKT-0029"/>
    <d v="2026-05-04T00:00:00"/>
    <s v="May 2026"/>
    <x v="0"/>
    <s v="South East"/>
    <x v="0"/>
    <s v="Phone"/>
    <x v="2"/>
    <s v="Riya"/>
    <n v="50.6"/>
    <x v="2"/>
    <x v="1"/>
    <n v="5"/>
    <n v="1"/>
    <n v="1"/>
  </r>
  <r>
    <s v="UKT-0030"/>
    <d v="2026-03-03T00:00:00"/>
    <s v="Mar 2026"/>
    <x v="0"/>
    <s v="South East"/>
    <x v="1"/>
    <s v="Live Chat"/>
    <x v="0"/>
    <s v="Riya"/>
    <n v="68.5"/>
    <x v="0"/>
    <x v="0"/>
    <n v="1"/>
    <n v="1"/>
    <n v="0"/>
  </r>
  <r>
    <s v="UKT-0031"/>
    <d v="2026-01-25T00:00:00"/>
    <s v="Jan 2026"/>
    <x v="2"/>
    <s v="Midlands"/>
    <x v="1"/>
    <s v="Live Chat"/>
    <x v="1"/>
    <s v="Priya"/>
    <n v="26.3"/>
    <x v="1"/>
    <x v="0"/>
    <n v="3"/>
    <n v="1"/>
    <n v="0"/>
  </r>
  <r>
    <s v="UKT-0032"/>
    <d v="2026-06-11T00:00:00"/>
    <s v="Jun 2026"/>
    <x v="2"/>
    <s v="Midlands"/>
    <x v="0"/>
    <s v="Phone"/>
    <x v="1"/>
    <s v="Riya"/>
    <n v="12.5"/>
    <x v="1"/>
    <x v="1"/>
    <n v="3"/>
    <n v="1"/>
    <n v="1"/>
  </r>
  <r>
    <s v="UKT-0033"/>
    <d v="2026-03-12T00:00:00"/>
    <s v="Mar 2026"/>
    <x v="5"/>
    <s v="Wales"/>
    <x v="3"/>
    <s v="Email"/>
    <x v="1"/>
    <s v="Jordan"/>
    <n v="31.8"/>
    <x v="1"/>
    <x v="0"/>
    <n v="3"/>
    <n v="1"/>
    <n v="0"/>
  </r>
  <r>
    <s v="UKT-0034"/>
    <d v="2026-02-26T00:00:00"/>
    <s v="Feb 2026"/>
    <x v="0"/>
    <s v="South East"/>
    <x v="1"/>
    <s v="Live Chat"/>
    <x v="1"/>
    <s v="Jordan"/>
    <n v="14.8"/>
    <x v="1"/>
    <x v="1"/>
    <n v="5"/>
    <n v="1"/>
    <n v="1"/>
  </r>
  <r>
    <s v="UKT-0035"/>
    <d v="2026-01-26T00:00:00"/>
    <s v="Jan 2026"/>
    <x v="2"/>
    <s v="Midlands"/>
    <x v="0"/>
    <s v="Email"/>
    <x v="3"/>
    <s v="Sam"/>
    <n v="9.5"/>
    <x v="3"/>
    <x v="0"/>
    <n v="5"/>
    <n v="1"/>
    <n v="0"/>
  </r>
  <r>
    <s v="UKT-0036"/>
    <d v="2026-03-17T00:00:00"/>
    <s v="Mar 2026"/>
    <x v="2"/>
    <s v="Midlands"/>
    <x v="2"/>
    <s v="Live Chat"/>
    <x v="2"/>
    <s v="Aisha"/>
    <n v="10.9"/>
    <x v="2"/>
    <x v="1"/>
    <n v="2"/>
    <n v="1"/>
    <n v="1"/>
  </r>
  <r>
    <s v="UKT-0037"/>
    <d v="2026-02-23T00:00:00"/>
    <s v="Feb 2026"/>
    <x v="6"/>
    <s v="Scotland"/>
    <x v="0"/>
    <s v="Web Form"/>
    <x v="0"/>
    <s v="Jordan"/>
    <n v="42.9"/>
    <x v="0"/>
    <x v="1"/>
    <n v="5"/>
    <n v="1"/>
    <n v="1"/>
  </r>
  <r>
    <s v="UKT-0038"/>
    <d v="2026-06-28T00:00:00"/>
    <s v="Jun 2026"/>
    <x v="4"/>
    <s v="South East"/>
    <x v="3"/>
    <s v="Email"/>
    <x v="1"/>
    <s v="Taylor"/>
    <n v="4.5"/>
    <x v="1"/>
    <x v="1"/>
    <n v="1"/>
    <n v="1"/>
    <n v="1"/>
  </r>
  <r>
    <s v="UKT-0039"/>
    <d v="2026-04-18T00:00:00"/>
    <s v="Apr 2026"/>
    <x v="3"/>
    <s v="Yorkshire"/>
    <x v="2"/>
    <s v="Email"/>
    <x v="0"/>
    <s v="Aisha"/>
    <n v="55.6"/>
    <x v="0"/>
    <x v="0"/>
    <n v="2"/>
    <n v="1"/>
    <n v="0"/>
  </r>
  <r>
    <s v="UKT-0040"/>
    <d v="2026-03-27T00:00:00"/>
    <s v="Mar 2026"/>
    <x v="6"/>
    <s v="Scotland"/>
    <x v="2"/>
    <s v="Email"/>
    <x v="0"/>
    <s v="Morgan"/>
    <n v="38.6"/>
    <x v="0"/>
    <x v="1"/>
    <n v="5"/>
    <n v="1"/>
    <n v="1"/>
  </r>
  <r>
    <s v="UKT-0041"/>
    <d v="2026-03-08T00:00:00"/>
    <s v="Mar 2026"/>
    <x v="4"/>
    <s v="South East"/>
    <x v="1"/>
    <s v="Live Chat"/>
    <x v="0"/>
    <s v="Taylor"/>
    <n v="8.6"/>
    <x v="0"/>
    <x v="1"/>
    <n v="4"/>
    <n v="1"/>
    <n v="1"/>
  </r>
  <r>
    <s v="UKT-0042"/>
    <d v="2026-01-14T00:00:00"/>
    <s v="Jan 2026"/>
    <x v="7"/>
    <s v="North West"/>
    <x v="1"/>
    <s v="Web Form"/>
    <x v="1"/>
    <s v="Morgan"/>
    <n v="33.1"/>
    <x v="1"/>
    <x v="0"/>
    <n v="4"/>
    <n v="1"/>
    <n v="0"/>
  </r>
  <r>
    <s v="UKT-0043"/>
    <d v="2026-06-27T00:00:00"/>
    <s v="Jun 2026"/>
    <x v="1"/>
    <s v="South West"/>
    <x v="3"/>
    <s v="Web Form"/>
    <x v="1"/>
    <s v="Riya"/>
    <n v="3.2"/>
    <x v="1"/>
    <x v="1"/>
    <n v="4"/>
    <n v="1"/>
    <n v="1"/>
  </r>
  <r>
    <s v="UKT-0044"/>
    <d v="2026-03-17T00:00:00"/>
    <s v="Mar 2026"/>
    <x v="0"/>
    <s v="South East"/>
    <x v="2"/>
    <s v="Email"/>
    <x v="0"/>
    <s v="Taylor"/>
    <n v="19.7"/>
    <x v="0"/>
    <x v="1"/>
    <n v="5"/>
    <n v="1"/>
    <n v="1"/>
  </r>
  <r>
    <s v="UKT-0045"/>
    <d v="2026-04-18T00:00:00"/>
    <s v="Apr 2026"/>
    <x v="5"/>
    <s v="Wales"/>
    <x v="1"/>
    <s v="Email"/>
    <x v="3"/>
    <s v="Riya"/>
    <n v="9.3000000000000007"/>
    <x v="3"/>
    <x v="0"/>
    <n v="1"/>
    <n v="1"/>
    <n v="0"/>
  </r>
  <r>
    <s v="UKT-0046"/>
    <d v="2026-03-29T00:00:00"/>
    <s v="Mar 2026"/>
    <x v="4"/>
    <s v="South East"/>
    <x v="2"/>
    <s v="Phone"/>
    <x v="1"/>
    <s v="Alex"/>
    <n v="30.2"/>
    <x v="1"/>
    <x v="0"/>
    <n v="3"/>
    <n v="1"/>
    <n v="0"/>
  </r>
  <r>
    <s v="UKT-0047"/>
    <d v="2026-01-12T00:00:00"/>
    <s v="Jan 2026"/>
    <x v="2"/>
    <s v="Midlands"/>
    <x v="1"/>
    <s v="Email"/>
    <x v="2"/>
    <s v="Priya"/>
    <n v="58.2"/>
    <x v="2"/>
    <x v="1"/>
    <n v="5"/>
    <n v="1"/>
    <n v="1"/>
  </r>
  <r>
    <s v="UKT-0048"/>
    <d v="2026-05-29T00:00:00"/>
    <s v="May 2026"/>
    <x v="7"/>
    <s v="North West"/>
    <x v="2"/>
    <s v="Phone"/>
    <x v="1"/>
    <s v="Jordan"/>
    <n v="8.6999999999999993"/>
    <x v="1"/>
    <x v="1"/>
    <n v="4"/>
    <n v="1"/>
    <n v="1"/>
  </r>
  <r>
    <s v="UKT-0049"/>
    <d v="2026-05-07T00:00:00"/>
    <s v="May 2026"/>
    <x v="5"/>
    <s v="Wales"/>
    <x v="1"/>
    <s v="Web Form"/>
    <x v="1"/>
    <s v="Oliver"/>
    <n v="31.4"/>
    <x v="1"/>
    <x v="0"/>
    <n v="4"/>
    <n v="1"/>
    <n v="0"/>
  </r>
  <r>
    <s v="UKT-0050"/>
    <d v="2026-06-17T00:00:00"/>
    <s v="Jun 2026"/>
    <x v="5"/>
    <s v="Wales"/>
    <x v="0"/>
    <s v="Phone"/>
    <x v="0"/>
    <s v="Sam"/>
    <n v="30.7"/>
    <x v="0"/>
    <x v="1"/>
    <n v="4"/>
    <n v="1"/>
    <n v="1"/>
  </r>
  <r>
    <s v="UKT-0051"/>
    <d v="2026-03-03T00:00:00"/>
    <s v="Mar 2026"/>
    <x v="2"/>
    <s v="Midlands"/>
    <x v="0"/>
    <s v="Web Form"/>
    <x v="2"/>
    <s v="Oliver"/>
    <n v="97.2"/>
    <x v="2"/>
    <x v="0"/>
    <n v="3"/>
    <n v="1"/>
    <n v="0"/>
  </r>
  <r>
    <s v="UKT-0052"/>
    <d v="2026-04-19T00:00:00"/>
    <s v="Apr 2026"/>
    <x v="7"/>
    <s v="North West"/>
    <x v="3"/>
    <s v="Email"/>
    <x v="2"/>
    <s v="Sam"/>
    <n v="100.7"/>
    <x v="2"/>
    <x v="0"/>
    <n v="5"/>
    <n v="1"/>
    <n v="0"/>
  </r>
  <r>
    <s v="UKT-0053"/>
    <d v="2026-05-10T00:00:00"/>
    <s v="May 2026"/>
    <x v="5"/>
    <s v="Wales"/>
    <x v="2"/>
    <s v="Email"/>
    <x v="0"/>
    <s v="Taylor"/>
    <n v="18.8"/>
    <x v="0"/>
    <x v="1"/>
    <n v="5"/>
    <n v="1"/>
    <n v="1"/>
  </r>
  <r>
    <s v="UKT-0054"/>
    <d v="2026-03-07T00:00:00"/>
    <s v="Mar 2026"/>
    <x v="0"/>
    <s v="South East"/>
    <x v="3"/>
    <s v="Live Chat"/>
    <x v="0"/>
    <s v="Morgan"/>
    <n v="21.2"/>
    <x v="0"/>
    <x v="1"/>
    <n v="4"/>
    <n v="1"/>
    <n v="1"/>
  </r>
  <r>
    <s v="UKT-0055"/>
    <d v="2026-02-04T00:00:00"/>
    <s v="Feb 2026"/>
    <x v="5"/>
    <s v="Wales"/>
    <x v="1"/>
    <s v="Email"/>
    <x v="0"/>
    <s v="Riya"/>
    <n v="4.2"/>
    <x v="0"/>
    <x v="1"/>
    <n v="3"/>
    <n v="1"/>
    <n v="1"/>
  </r>
  <r>
    <s v="UKT-0056"/>
    <d v="2026-04-19T00:00:00"/>
    <s v="Apr 2026"/>
    <x v="4"/>
    <s v="South East"/>
    <x v="0"/>
    <s v="Phone"/>
    <x v="1"/>
    <s v="Priya"/>
    <n v="29.7"/>
    <x v="1"/>
    <x v="0"/>
    <n v="4"/>
    <n v="1"/>
    <n v="0"/>
  </r>
  <r>
    <s v="UKT-0057"/>
    <d v="2026-06-11T00:00:00"/>
    <s v="Jun 2026"/>
    <x v="7"/>
    <s v="North West"/>
    <x v="2"/>
    <s v="Email"/>
    <x v="2"/>
    <s v="Sam"/>
    <n v="41.3"/>
    <x v="2"/>
    <x v="1"/>
    <n v="4"/>
    <n v="1"/>
    <n v="1"/>
  </r>
  <r>
    <s v="UKT-0058"/>
    <d v="2026-04-20T00:00:00"/>
    <s v="Apr 2026"/>
    <x v="5"/>
    <s v="Wales"/>
    <x v="0"/>
    <s v="Phone"/>
    <x v="0"/>
    <s v="Morgan"/>
    <n v="70.7"/>
    <x v="0"/>
    <x v="0"/>
    <n v="3"/>
    <n v="1"/>
    <n v="0"/>
  </r>
  <r>
    <s v="UKT-0059"/>
    <d v="2026-03-13T00:00:00"/>
    <s v="Mar 2026"/>
    <x v="2"/>
    <s v="Midlands"/>
    <x v="3"/>
    <s v="Web Form"/>
    <x v="2"/>
    <s v="Sam"/>
    <n v="37.700000000000003"/>
    <x v="2"/>
    <x v="1"/>
    <n v="5"/>
    <n v="1"/>
    <n v="1"/>
  </r>
  <r>
    <s v="UKT-0060"/>
    <d v="2026-04-20T00:00:00"/>
    <s v="Apr 2026"/>
    <x v="1"/>
    <s v="South West"/>
    <x v="1"/>
    <s v="Web Form"/>
    <x v="2"/>
    <s v="Taylor"/>
    <n v="84.7"/>
    <x v="2"/>
    <x v="0"/>
    <n v="4"/>
    <n v="1"/>
    <n v="0"/>
  </r>
  <r>
    <s v="UKT-0061"/>
    <d v="2026-01-04T00:00:00"/>
    <s v="Jan 2026"/>
    <x v="1"/>
    <s v="South West"/>
    <x v="3"/>
    <s v="Phone"/>
    <x v="0"/>
    <s v="Jordan"/>
    <n v="35.1"/>
    <x v="0"/>
    <x v="1"/>
    <n v="3"/>
    <n v="1"/>
    <n v="1"/>
  </r>
  <r>
    <s v="UKT-0062"/>
    <d v="2026-06-09T00:00:00"/>
    <s v="Jun 2026"/>
    <x v="1"/>
    <s v="South West"/>
    <x v="3"/>
    <s v="Live Chat"/>
    <x v="0"/>
    <s v="Aisha"/>
    <n v="37.5"/>
    <x v="0"/>
    <x v="1"/>
    <n v="5"/>
    <n v="1"/>
    <n v="1"/>
  </r>
  <r>
    <s v="UKT-0063"/>
    <d v="2026-06-12T00:00:00"/>
    <s v="Jun 2026"/>
    <x v="1"/>
    <s v="South West"/>
    <x v="3"/>
    <s v="Live Chat"/>
    <x v="0"/>
    <s v="Daniel"/>
    <n v="39.5"/>
    <x v="0"/>
    <x v="1"/>
    <n v="4"/>
    <n v="1"/>
    <n v="1"/>
  </r>
  <r>
    <s v="UKT-0064"/>
    <d v="2026-06-11T00:00:00"/>
    <s v="Jun 2026"/>
    <x v="7"/>
    <s v="North West"/>
    <x v="0"/>
    <s v="Web Form"/>
    <x v="1"/>
    <s v="Oliver"/>
    <n v="23.9"/>
    <x v="1"/>
    <x v="1"/>
    <n v="4"/>
    <n v="1"/>
    <n v="1"/>
  </r>
  <r>
    <s v="UKT-0065"/>
    <d v="2026-06-02T00:00:00"/>
    <s v="Jun 2026"/>
    <x v="6"/>
    <s v="Scotland"/>
    <x v="0"/>
    <s v="Phone"/>
    <x v="0"/>
    <s v="Priya"/>
    <n v="18.5"/>
    <x v="0"/>
    <x v="1"/>
    <n v="3"/>
    <n v="1"/>
    <n v="1"/>
  </r>
  <r>
    <s v="UKT-0066"/>
    <d v="2026-02-07T00:00:00"/>
    <s v="Feb 2026"/>
    <x v="6"/>
    <s v="Scotland"/>
    <x v="0"/>
    <s v="Phone"/>
    <x v="0"/>
    <s v="Priya"/>
    <n v="23.6"/>
    <x v="0"/>
    <x v="1"/>
    <n v="4"/>
    <n v="1"/>
    <n v="1"/>
  </r>
  <r>
    <s v="UKT-0067"/>
    <d v="2026-04-20T00:00:00"/>
    <s v="Apr 2026"/>
    <x v="0"/>
    <s v="South East"/>
    <x v="3"/>
    <s v="Live Chat"/>
    <x v="2"/>
    <s v="Alex"/>
    <n v="92.7"/>
    <x v="2"/>
    <x v="0"/>
    <n v="5"/>
    <n v="1"/>
    <n v="0"/>
  </r>
  <r>
    <s v="UKT-0068"/>
    <d v="2026-03-09T00:00:00"/>
    <s v="Mar 2026"/>
    <x v="1"/>
    <s v="South West"/>
    <x v="2"/>
    <s v="Email"/>
    <x v="0"/>
    <s v="Oliver"/>
    <n v="30.5"/>
    <x v="0"/>
    <x v="1"/>
    <n v="1"/>
    <n v="1"/>
    <n v="1"/>
  </r>
  <r>
    <s v="UKT-0069"/>
    <d v="2026-04-10T00:00:00"/>
    <s v="Apr 2026"/>
    <x v="3"/>
    <s v="Yorkshire"/>
    <x v="1"/>
    <s v="Phone"/>
    <x v="0"/>
    <s v="Riya"/>
    <n v="73.8"/>
    <x v="0"/>
    <x v="0"/>
    <n v="2"/>
    <n v="1"/>
    <n v="0"/>
  </r>
  <r>
    <s v="UKT-0070"/>
    <d v="2026-03-22T00:00:00"/>
    <s v="Mar 2026"/>
    <x v="2"/>
    <s v="Midlands"/>
    <x v="3"/>
    <s v="Email"/>
    <x v="3"/>
    <s v="Aisha"/>
    <n v="6.1"/>
    <x v="3"/>
    <x v="1"/>
    <n v="4"/>
    <n v="1"/>
    <n v="1"/>
  </r>
  <r>
    <s v="UKT-0071"/>
    <d v="2026-02-21T00:00:00"/>
    <s v="Feb 2026"/>
    <x v="6"/>
    <s v="Scotland"/>
    <x v="3"/>
    <s v="Live Chat"/>
    <x v="0"/>
    <s v="Riya"/>
    <n v="3"/>
    <x v="0"/>
    <x v="1"/>
    <n v="2"/>
    <n v="1"/>
    <n v="1"/>
  </r>
  <r>
    <s v="UKT-0072"/>
    <d v="2026-05-31T00:00:00"/>
    <s v="May 2026"/>
    <x v="6"/>
    <s v="Scotland"/>
    <x v="2"/>
    <s v="Email"/>
    <x v="2"/>
    <s v="Jordan"/>
    <n v="76"/>
    <x v="2"/>
    <x v="0"/>
    <n v="4"/>
    <n v="1"/>
    <n v="0"/>
  </r>
  <r>
    <s v="UKT-0073"/>
    <d v="2026-01-13T00:00:00"/>
    <s v="Jan 2026"/>
    <x v="7"/>
    <s v="North West"/>
    <x v="3"/>
    <s v="Email"/>
    <x v="1"/>
    <s v="Riya"/>
    <n v="5.3"/>
    <x v="1"/>
    <x v="1"/>
    <n v="4"/>
    <n v="1"/>
    <n v="1"/>
  </r>
  <r>
    <s v="UKT-0074"/>
    <d v="2026-06-15T00:00:00"/>
    <s v="Jun 2026"/>
    <x v="5"/>
    <s v="Wales"/>
    <x v="1"/>
    <s v="Phone"/>
    <x v="1"/>
    <s v="Daniel"/>
    <n v="31"/>
    <x v="1"/>
    <x v="0"/>
    <n v="3"/>
    <n v="1"/>
    <n v="0"/>
  </r>
  <r>
    <s v="UKT-0075"/>
    <d v="2026-04-20T00:00:00"/>
    <s v="Apr 2026"/>
    <x v="7"/>
    <s v="North West"/>
    <x v="0"/>
    <s v="Email"/>
    <x v="0"/>
    <s v="Priya"/>
    <n v="28.8"/>
    <x v="0"/>
    <x v="1"/>
    <n v="4"/>
    <n v="1"/>
    <n v="1"/>
  </r>
  <r>
    <s v="UKT-0076"/>
    <d v="2026-06-02T00:00:00"/>
    <s v="Jun 2026"/>
    <x v="6"/>
    <s v="Scotland"/>
    <x v="3"/>
    <s v="Email"/>
    <x v="2"/>
    <s v="Oliver"/>
    <n v="111"/>
    <x v="2"/>
    <x v="0"/>
    <n v="2"/>
    <n v="1"/>
    <n v="0"/>
  </r>
  <r>
    <s v="UKT-0077"/>
    <d v="2026-06-05T00:00:00"/>
    <s v="Jun 2026"/>
    <x v="0"/>
    <s v="South East"/>
    <x v="3"/>
    <s v="Live Chat"/>
    <x v="1"/>
    <s v="Alex"/>
    <n v="37"/>
    <x v="1"/>
    <x v="0"/>
    <n v="4"/>
    <n v="1"/>
    <n v="0"/>
  </r>
  <r>
    <s v="UKT-0078"/>
    <d v="2026-03-14T00:00:00"/>
    <s v="Mar 2026"/>
    <x v="3"/>
    <s v="Yorkshire"/>
    <x v="1"/>
    <s v="Phone"/>
    <x v="0"/>
    <s v="Daniel"/>
    <n v="40.1"/>
    <x v="0"/>
    <x v="1"/>
    <n v="4"/>
    <n v="1"/>
    <n v="1"/>
  </r>
  <r>
    <s v="UKT-0079"/>
    <d v="2026-05-02T00:00:00"/>
    <s v="May 2026"/>
    <x v="0"/>
    <s v="South East"/>
    <x v="3"/>
    <s v="Email"/>
    <x v="0"/>
    <s v="Priya"/>
    <n v="8.6"/>
    <x v="0"/>
    <x v="1"/>
    <n v="5"/>
    <n v="1"/>
    <n v="1"/>
  </r>
  <r>
    <s v="UKT-0080"/>
    <d v="2026-06-15T00:00:00"/>
    <s v="Jun 2026"/>
    <x v="2"/>
    <s v="Midlands"/>
    <x v="2"/>
    <s v="Email"/>
    <x v="0"/>
    <s v="Morgan"/>
    <n v="36.700000000000003"/>
    <x v="0"/>
    <x v="1"/>
    <n v="5"/>
    <n v="1"/>
    <n v="1"/>
  </r>
  <r>
    <s v="UKT-0081"/>
    <d v="2026-01-22T00:00:00"/>
    <s v="Jan 2026"/>
    <x v="3"/>
    <s v="Yorkshire"/>
    <x v="0"/>
    <s v="Email"/>
    <x v="0"/>
    <s v="Oliver"/>
    <n v="47.7"/>
    <x v="0"/>
    <x v="1"/>
    <n v="5"/>
    <n v="1"/>
    <n v="1"/>
  </r>
  <r>
    <s v="UKT-0082"/>
    <d v="2026-06-18T00:00:00"/>
    <s v="Jun 2026"/>
    <x v="2"/>
    <s v="Midlands"/>
    <x v="3"/>
    <s v="Phone"/>
    <x v="0"/>
    <s v="Jordan"/>
    <n v="67.3"/>
    <x v="0"/>
    <x v="0"/>
    <n v="5"/>
    <n v="1"/>
    <n v="0"/>
  </r>
  <r>
    <s v="UKT-0083"/>
    <d v="2026-02-03T00:00:00"/>
    <s v="Feb 2026"/>
    <x v="7"/>
    <s v="North West"/>
    <x v="0"/>
    <s v="Web Form"/>
    <x v="1"/>
    <s v="Aisha"/>
    <n v="25.4"/>
    <x v="1"/>
    <x v="0"/>
    <n v="4"/>
    <n v="1"/>
    <n v="0"/>
  </r>
  <r>
    <s v="UKT-0084"/>
    <d v="2026-02-08T00:00:00"/>
    <s v="Feb 2026"/>
    <x v="2"/>
    <s v="Midlands"/>
    <x v="3"/>
    <s v="Live Chat"/>
    <x v="2"/>
    <s v="Priya"/>
    <n v="65.900000000000006"/>
    <x v="2"/>
    <x v="1"/>
    <n v="2"/>
    <n v="1"/>
    <n v="1"/>
  </r>
  <r>
    <s v="UKT-0085"/>
    <d v="2026-03-25T00:00:00"/>
    <s v="Mar 2026"/>
    <x v="4"/>
    <s v="South East"/>
    <x v="3"/>
    <s v="Email"/>
    <x v="0"/>
    <s v="Aisha"/>
    <n v="14.3"/>
    <x v="0"/>
    <x v="1"/>
    <n v="1"/>
    <n v="1"/>
    <n v="1"/>
  </r>
  <r>
    <s v="UKT-0086"/>
    <d v="2026-03-12T00:00:00"/>
    <s v="Mar 2026"/>
    <x v="5"/>
    <s v="Wales"/>
    <x v="1"/>
    <s v="Email"/>
    <x v="1"/>
    <s v="Daniel"/>
    <n v="9.3000000000000007"/>
    <x v="1"/>
    <x v="1"/>
    <n v="4"/>
    <n v="1"/>
    <n v="1"/>
  </r>
  <r>
    <s v="UKT-0087"/>
    <d v="2026-05-25T00:00:00"/>
    <s v="May 2026"/>
    <x v="6"/>
    <s v="Scotland"/>
    <x v="3"/>
    <s v="Live Chat"/>
    <x v="0"/>
    <s v="Priya"/>
    <n v="33"/>
    <x v="0"/>
    <x v="1"/>
    <n v="3"/>
    <n v="1"/>
    <n v="1"/>
  </r>
  <r>
    <s v="UKT-0088"/>
    <d v="2026-04-23T00:00:00"/>
    <s v="Apr 2026"/>
    <x v="5"/>
    <s v="Wales"/>
    <x v="1"/>
    <s v="Phone"/>
    <x v="2"/>
    <s v="Alex"/>
    <n v="89.2"/>
    <x v="2"/>
    <x v="0"/>
    <n v="4"/>
    <n v="1"/>
    <n v="0"/>
  </r>
  <r>
    <s v="UKT-0089"/>
    <d v="2026-03-18T00:00:00"/>
    <s v="Mar 2026"/>
    <x v="6"/>
    <s v="Scotland"/>
    <x v="0"/>
    <s v="Phone"/>
    <x v="1"/>
    <s v="Oliver"/>
    <n v="21.9"/>
    <x v="1"/>
    <x v="1"/>
    <n v="5"/>
    <n v="1"/>
    <n v="1"/>
  </r>
  <r>
    <s v="UKT-0090"/>
    <d v="2026-06-12T00:00:00"/>
    <s v="Jun 2026"/>
    <x v="6"/>
    <s v="Scotland"/>
    <x v="3"/>
    <s v="Email"/>
    <x v="0"/>
    <s v="Oliver"/>
    <n v="73.900000000000006"/>
    <x v="0"/>
    <x v="0"/>
    <n v="5"/>
    <n v="1"/>
    <n v="0"/>
  </r>
  <r>
    <s v="UKT-0091"/>
    <d v="2026-02-16T00:00:00"/>
    <s v="Feb 2026"/>
    <x v="3"/>
    <s v="Yorkshire"/>
    <x v="0"/>
    <s v="Phone"/>
    <x v="0"/>
    <s v="Daniel"/>
    <n v="61.2"/>
    <x v="0"/>
    <x v="0"/>
    <n v="5"/>
    <n v="1"/>
    <n v="0"/>
  </r>
  <r>
    <s v="UKT-0092"/>
    <d v="2026-03-06T00:00:00"/>
    <s v="Mar 2026"/>
    <x v="1"/>
    <s v="South West"/>
    <x v="2"/>
    <s v="Live Chat"/>
    <x v="2"/>
    <s v="Sam"/>
    <n v="48.4"/>
    <x v="2"/>
    <x v="1"/>
    <n v="3"/>
    <n v="1"/>
    <n v="1"/>
  </r>
  <r>
    <s v="UKT-0093"/>
    <d v="2026-02-09T00:00:00"/>
    <s v="Feb 2026"/>
    <x v="5"/>
    <s v="Wales"/>
    <x v="2"/>
    <s v="Live Chat"/>
    <x v="1"/>
    <s v="Taylor"/>
    <n v="2.2000000000000002"/>
    <x v="1"/>
    <x v="1"/>
    <n v="5"/>
    <n v="1"/>
    <n v="1"/>
  </r>
  <r>
    <s v="UKT-0094"/>
    <d v="2026-03-14T00:00:00"/>
    <s v="Mar 2026"/>
    <x v="3"/>
    <s v="Yorkshire"/>
    <x v="2"/>
    <s v="Live Chat"/>
    <x v="0"/>
    <s v="Alex"/>
    <n v="23.8"/>
    <x v="0"/>
    <x v="1"/>
    <n v="5"/>
    <n v="1"/>
    <n v="1"/>
  </r>
  <r>
    <s v="UKT-0095"/>
    <d v="2026-04-06T00:00:00"/>
    <s v="Apr 2026"/>
    <x v="3"/>
    <s v="Yorkshire"/>
    <x v="0"/>
    <s v="Live Chat"/>
    <x v="1"/>
    <s v="Oliver"/>
    <n v="1"/>
    <x v="1"/>
    <x v="1"/>
    <n v="4"/>
    <n v="1"/>
    <n v="1"/>
  </r>
  <r>
    <s v="UKT-0096"/>
    <d v="2026-06-18T00:00:00"/>
    <s v="Jun 2026"/>
    <x v="3"/>
    <s v="Yorkshire"/>
    <x v="2"/>
    <s v="Web Form"/>
    <x v="0"/>
    <s v="Morgan"/>
    <n v="36.5"/>
    <x v="0"/>
    <x v="1"/>
    <n v="4"/>
    <n v="1"/>
    <n v="1"/>
  </r>
  <r>
    <s v="UKT-0097"/>
    <d v="2026-01-06T00:00:00"/>
    <s v="Jan 2026"/>
    <x v="3"/>
    <s v="Yorkshire"/>
    <x v="3"/>
    <s v="Live Chat"/>
    <x v="2"/>
    <s v="Morgan"/>
    <n v="13.1"/>
    <x v="2"/>
    <x v="1"/>
    <n v="5"/>
    <n v="1"/>
    <n v="1"/>
  </r>
  <r>
    <s v="UKT-0098"/>
    <d v="2026-03-28T00:00:00"/>
    <s v="Mar 2026"/>
    <x v="6"/>
    <s v="Scotland"/>
    <x v="1"/>
    <s v="Live Chat"/>
    <x v="0"/>
    <s v="Alex"/>
    <n v="55.2"/>
    <x v="0"/>
    <x v="0"/>
    <n v="1"/>
    <n v="1"/>
    <n v="0"/>
  </r>
  <r>
    <s v="UKT-0099"/>
    <d v="2026-02-09T00:00:00"/>
    <s v="Feb 2026"/>
    <x v="5"/>
    <s v="Wales"/>
    <x v="0"/>
    <s v="Live Chat"/>
    <x v="2"/>
    <s v="Oliver"/>
    <n v="113.7"/>
    <x v="2"/>
    <x v="0"/>
    <n v="5"/>
    <n v="1"/>
    <n v="0"/>
  </r>
  <r>
    <s v="UKT-0100"/>
    <d v="2026-02-15T00:00:00"/>
    <s v="Feb 2026"/>
    <x v="4"/>
    <s v="South East"/>
    <x v="2"/>
    <s v="Live Chat"/>
    <x v="0"/>
    <s v="Taylor"/>
    <n v="7.4"/>
    <x v="0"/>
    <x v="1"/>
    <n v="4"/>
    <n v="1"/>
    <n v="1"/>
  </r>
  <r>
    <s v="UKT-0101"/>
    <d v="2026-05-02T00:00:00"/>
    <s v="May 2026"/>
    <x v="6"/>
    <s v="Scotland"/>
    <x v="2"/>
    <s v="Email"/>
    <x v="1"/>
    <s v="Alex"/>
    <n v="8.8000000000000007"/>
    <x v="1"/>
    <x v="1"/>
    <n v="4"/>
    <n v="1"/>
    <n v="1"/>
  </r>
  <r>
    <s v="UKT-0102"/>
    <d v="2026-05-13T00:00:00"/>
    <s v="May 2026"/>
    <x v="6"/>
    <s v="Scotland"/>
    <x v="0"/>
    <s v="Phone"/>
    <x v="1"/>
    <s v="Oliver"/>
    <n v="4.0999999999999996"/>
    <x v="1"/>
    <x v="1"/>
    <n v="4"/>
    <n v="1"/>
    <n v="1"/>
  </r>
  <r>
    <s v="UKT-0103"/>
    <d v="2026-06-23T00:00:00"/>
    <s v="Jun 2026"/>
    <x v="4"/>
    <s v="South East"/>
    <x v="0"/>
    <s v="Phone"/>
    <x v="0"/>
    <s v="Morgan"/>
    <n v="52.6"/>
    <x v="0"/>
    <x v="0"/>
    <n v="2"/>
    <n v="1"/>
    <n v="0"/>
  </r>
  <r>
    <s v="UKT-0104"/>
    <d v="2026-02-05T00:00:00"/>
    <s v="Feb 2026"/>
    <x v="5"/>
    <s v="Wales"/>
    <x v="3"/>
    <s v="Live Chat"/>
    <x v="0"/>
    <s v="Daniel"/>
    <n v="76.099999999999994"/>
    <x v="0"/>
    <x v="0"/>
    <n v="2"/>
    <n v="1"/>
    <n v="0"/>
  </r>
  <r>
    <s v="UKT-0105"/>
    <d v="2026-01-11T00:00:00"/>
    <s v="Jan 2026"/>
    <x v="4"/>
    <s v="South East"/>
    <x v="3"/>
    <s v="Phone"/>
    <x v="0"/>
    <s v="Aisha"/>
    <n v="3.8"/>
    <x v="0"/>
    <x v="1"/>
    <n v="5"/>
    <n v="1"/>
    <n v="1"/>
  </r>
  <r>
    <s v="UKT-0106"/>
    <d v="2026-04-25T00:00:00"/>
    <s v="Apr 2026"/>
    <x v="3"/>
    <s v="Yorkshire"/>
    <x v="0"/>
    <s v="Email"/>
    <x v="0"/>
    <s v="Alex"/>
    <n v="54.1"/>
    <x v="0"/>
    <x v="0"/>
    <n v="2"/>
    <n v="1"/>
    <n v="0"/>
  </r>
  <r>
    <s v="UKT-0107"/>
    <d v="2026-04-06T00:00:00"/>
    <s v="Apr 2026"/>
    <x v="3"/>
    <s v="Yorkshire"/>
    <x v="3"/>
    <s v="Phone"/>
    <x v="2"/>
    <s v="Daniel"/>
    <n v="65.7"/>
    <x v="2"/>
    <x v="1"/>
    <n v="4"/>
    <n v="1"/>
    <n v="1"/>
  </r>
  <r>
    <s v="UKT-0108"/>
    <d v="2026-03-12T00:00:00"/>
    <s v="Mar 2026"/>
    <x v="2"/>
    <s v="Midlands"/>
    <x v="0"/>
    <s v="Live Chat"/>
    <x v="0"/>
    <s v="Jordan"/>
    <n v="46.2"/>
    <x v="0"/>
    <x v="1"/>
    <n v="5"/>
    <n v="1"/>
    <n v="1"/>
  </r>
  <r>
    <s v="UKT-0109"/>
    <d v="2026-03-26T00:00:00"/>
    <s v="Mar 2026"/>
    <x v="7"/>
    <s v="North West"/>
    <x v="0"/>
    <s v="Live Chat"/>
    <x v="0"/>
    <s v="Alex"/>
    <n v="3.5"/>
    <x v="0"/>
    <x v="1"/>
    <n v="3"/>
    <n v="1"/>
    <n v="1"/>
  </r>
  <r>
    <s v="UKT-0110"/>
    <d v="2026-02-26T00:00:00"/>
    <s v="Feb 2026"/>
    <x v="2"/>
    <s v="Midlands"/>
    <x v="2"/>
    <s v="Live Chat"/>
    <x v="0"/>
    <s v="Alex"/>
    <n v="17.600000000000001"/>
    <x v="0"/>
    <x v="1"/>
    <n v="3"/>
    <n v="1"/>
    <n v="1"/>
  </r>
  <r>
    <s v="UKT-0111"/>
    <d v="2026-02-25T00:00:00"/>
    <s v="Feb 2026"/>
    <x v="2"/>
    <s v="Midlands"/>
    <x v="0"/>
    <s v="Email"/>
    <x v="3"/>
    <s v="Oliver"/>
    <n v="9.3000000000000007"/>
    <x v="3"/>
    <x v="0"/>
    <n v="4"/>
    <n v="1"/>
    <n v="0"/>
  </r>
  <r>
    <s v="UKT-0112"/>
    <d v="2026-03-15T00:00:00"/>
    <s v="Mar 2026"/>
    <x v="7"/>
    <s v="North West"/>
    <x v="2"/>
    <s v="Email"/>
    <x v="0"/>
    <s v="Oliver"/>
    <n v="47.8"/>
    <x v="0"/>
    <x v="1"/>
    <n v="4"/>
    <n v="1"/>
    <n v="1"/>
  </r>
  <r>
    <s v="UKT-0113"/>
    <d v="2026-01-12T00:00:00"/>
    <s v="Jan 2026"/>
    <x v="6"/>
    <s v="Scotland"/>
    <x v="2"/>
    <s v="Phone"/>
    <x v="0"/>
    <s v="Morgan"/>
    <n v="52.9"/>
    <x v="0"/>
    <x v="0"/>
    <n v="4"/>
    <n v="1"/>
    <n v="0"/>
  </r>
  <r>
    <s v="UKT-0114"/>
    <d v="2026-02-25T00:00:00"/>
    <s v="Feb 2026"/>
    <x v="3"/>
    <s v="Yorkshire"/>
    <x v="0"/>
    <s v="Email"/>
    <x v="2"/>
    <s v="Sam"/>
    <n v="104.9"/>
    <x v="2"/>
    <x v="0"/>
    <n v="3"/>
    <n v="1"/>
    <n v="0"/>
  </r>
  <r>
    <s v="UKT-0115"/>
    <d v="2026-02-05T00:00:00"/>
    <s v="Feb 2026"/>
    <x v="7"/>
    <s v="North West"/>
    <x v="2"/>
    <s v="Email"/>
    <x v="3"/>
    <s v="Sam"/>
    <n v="7.6"/>
    <x v="3"/>
    <x v="1"/>
    <n v="4"/>
    <n v="1"/>
    <n v="1"/>
  </r>
  <r>
    <s v="UKT-0116"/>
    <d v="2026-03-30T00:00:00"/>
    <s v="Mar 2026"/>
    <x v="7"/>
    <s v="North West"/>
    <x v="0"/>
    <s v="Web Form"/>
    <x v="0"/>
    <s v="Priya"/>
    <n v="72.900000000000006"/>
    <x v="0"/>
    <x v="0"/>
    <n v="4"/>
    <n v="1"/>
    <n v="0"/>
  </r>
  <r>
    <s v="UKT-0117"/>
    <d v="2026-02-16T00:00:00"/>
    <s v="Feb 2026"/>
    <x v="5"/>
    <s v="Wales"/>
    <x v="1"/>
    <s v="Email"/>
    <x v="0"/>
    <s v="Riya"/>
    <n v="8.1999999999999993"/>
    <x v="0"/>
    <x v="1"/>
    <n v="4"/>
    <n v="1"/>
    <n v="1"/>
  </r>
  <r>
    <s v="UKT-0118"/>
    <d v="2026-03-17T00:00:00"/>
    <s v="Mar 2026"/>
    <x v="1"/>
    <s v="South West"/>
    <x v="3"/>
    <s v="Live Chat"/>
    <x v="2"/>
    <s v="Morgan"/>
    <n v="15.3"/>
    <x v="2"/>
    <x v="1"/>
    <n v="2"/>
    <n v="1"/>
    <n v="1"/>
  </r>
  <r>
    <s v="UKT-0119"/>
    <d v="2026-05-07T00:00:00"/>
    <s v="May 2026"/>
    <x v="4"/>
    <s v="South East"/>
    <x v="2"/>
    <s v="Phone"/>
    <x v="0"/>
    <s v="Aisha"/>
    <n v="72.400000000000006"/>
    <x v="0"/>
    <x v="0"/>
    <n v="5"/>
    <n v="1"/>
    <n v="0"/>
  </r>
  <r>
    <s v="UKT-0120"/>
    <d v="2026-06-06T00:00:00"/>
    <s v="Jun 2026"/>
    <x v="1"/>
    <s v="South West"/>
    <x v="1"/>
    <s v="Email"/>
    <x v="1"/>
    <s v="Riya"/>
    <n v="31.6"/>
    <x v="1"/>
    <x v="0"/>
    <n v="5"/>
    <n v="1"/>
    <n v="0"/>
  </r>
  <r>
    <s v="UKT-0121"/>
    <d v="2026-01-25T00:00:00"/>
    <s v="Jan 2026"/>
    <x v="1"/>
    <s v="South West"/>
    <x v="0"/>
    <s v="Email"/>
    <x v="0"/>
    <s v="Priya"/>
    <n v="6.9"/>
    <x v="0"/>
    <x v="1"/>
    <n v="5"/>
    <n v="1"/>
    <n v="1"/>
  </r>
  <r>
    <s v="UKT-0122"/>
    <d v="2026-06-07T00:00:00"/>
    <s v="Jun 2026"/>
    <x v="0"/>
    <s v="South East"/>
    <x v="0"/>
    <s v="Phone"/>
    <x v="0"/>
    <s v="Oliver"/>
    <n v="2.7"/>
    <x v="0"/>
    <x v="1"/>
    <n v="2"/>
    <n v="1"/>
    <n v="1"/>
  </r>
  <r>
    <s v="UKT-0123"/>
    <d v="2026-02-16T00:00:00"/>
    <s v="Feb 2026"/>
    <x v="2"/>
    <s v="Midlands"/>
    <x v="0"/>
    <s v="Phone"/>
    <x v="2"/>
    <s v="Sam"/>
    <n v="30.2"/>
    <x v="2"/>
    <x v="1"/>
    <n v="4"/>
    <n v="1"/>
    <n v="1"/>
  </r>
  <r>
    <s v="UKT-0124"/>
    <d v="2026-04-20T00:00:00"/>
    <s v="Apr 2026"/>
    <x v="2"/>
    <s v="Midlands"/>
    <x v="0"/>
    <s v="Live Chat"/>
    <x v="1"/>
    <s v="Taylor"/>
    <n v="14.8"/>
    <x v="1"/>
    <x v="1"/>
    <n v="4"/>
    <n v="1"/>
    <n v="1"/>
  </r>
  <r>
    <s v="UKT-0125"/>
    <d v="2026-06-27T00:00:00"/>
    <s v="Jun 2026"/>
    <x v="1"/>
    <s v="South West"/>
    <x v="1"/>
    <s v="Phone"/>
    <x v="0"/>
    <s v="Daniel"/>
    <n v="60.6"/>
    <x v="0"/>
    <x v="0"/>
    <n v="3"/>
    <n v="1"/>
    <n v="0"/>
  </r>
  <r>
    <s v="UKT-0126"/>
    <d v="2026-03-10T00:00:00"/>
    <s v="Mar 2026"/>
    <x v="2"/>
    <s v="Midlands"/>
    <x v="3"/>
    <s v="Phone"/>
    <x v="0"/>
    <s v="Morgan"/>
    <n v="76.400000000000006"/>
    <x v="0"/>
    <x v="0"/>
    <n v="3"/>
    <n v="1"/>
    <n v="0"/>
  </r>
  <r>
    <s v="UKT-0127"/>
    <d v="2026-01-05T00:00:00"/>
    <s v="Jan 2026"/>
    <x v="3"/>
    <s v="Yorkshire"/>
    <x v="3"/>
    <s v="Live Chat"/>
    <x v="2"/>
    <s v="Morgan"/>
    <n v="20.7"/>
    <x v="2"/>
    <x v="1"/>
    <n v="4"/>
    <n v="1"/>
    <n v="1"/>
  </r>
  <r>
    <s v="UKT-0128"/>
    <d v="2026-02-23T00:00:00"/>
    <s v="Feb 2026"/>
    <x v="2"/>
    <s v="Midlands"/>
    <x v="0"/>
    <s v="Live Chat"/>
    <x v="1"/>
    <s v="Morgan"/>
    <n v="22.4"/>
    <x v="1"/>
    <x v="1"/>
    <n v="2"/>
    <n v="1"/>
    <n v="1"/>
  </r>
  <r>
    <s v="UKT-0129"/>
    <d v="2026-01-16T00:00:00"/>
    <s v="Jan 2026"/>
    <x v="4"/>
    <s v="South East"/>
    <x v="2"/>
    <s v="Live Chat"/>
    <x v="1"/>
    <s v="Priya"/>
    <n v="21"/>
    <x v="1"/>
    <x v="1"/>
    <n v="5"/>
    <n v="1"/>
    <n v="1"/>
  </r>
  <r>
    <s v="UKT-0130"/>
    <d v="2026-04-03T00:00:00"/>
    <s v="Apr 2026"/>
    <x v="6"/>
    <s v="Scotland"/>
    <x v="0"/>
    <s v="Phone"/>
    <x v="3"/>
    <s v="Daniel"/>
    <n v="6"/>
    <x v="3"/>
    <x v="1"/>
    <n v="3"/>
    <n v="1"/>
    <n v="1"/>
  </r>
  <r>
    <s v="UKT-0131"/>
    <d v="2026-02-13T00:00:00"/>
    <s v="Feb 2026"/>
    <x v="5"/>
    <s v="Wales"/>
    <x v="2"/>
    <s v="Email"/>
    <x v="2"/>
    <s v="Jordan"/>
    <n v="49.4"/>
    <x v="2"/>
    <x v="1"/>
    <n v="5"/>
    <n v="1"/>
    <n v="1"/>
  </r>
  <r>
    <s v="UKT-0132"/>
    <d v="2026-01-25T00:00:00"/>
    <s v="Jan 2026"/>
    <x v="6"/>
    <s v="Scotland"/>
    <x v="0"/>
    <s v="Web Form"/>
    <x v="0"/>
    <s v="Morgan"/>
    <n v="28.2"/>
    <x v="0"/>
    <x v="1"/>
    <n v="4"/>
    <n v="1"/>
    <n v="1"/>
  </r>
  <r>
    <s v="UKT-0133"/>
    <d v="2026-06-03T00:00:00"/>
    <s v="Jun 2026"/>
    <x v="2"/>
    <s v="Midlands"/>
    <x v="0"/>
    <s v="Live Chat"/>
    <x v="3"/>
    <s v="Sam"/>
    <n v="10.199999999999999"/>
    <x v="3"/>
    <x v="0"/>
    <n v="2"/>
    <n v="1"/>
    <n v="0"/>
  </r>
  <r>
    <s v="UKT-0134"/>
    <d v="2026-02-03T00:00:00"/>
    <s v="Feb 2026"/>
    <x v="7"/>
    <s v="North West"/>
    <x v="1"/>
    <s v="Phone"/>
    <x v="0"/>
    <s v="Aisha"/>
    <n v="30.5"/>
    <x v="0"/>
    <x v="1"/>
    <n v="4"/>
    <n v="1"/>
    <n v="1"/>
  </r>
  <r>
    <s v="UKT-0135"/>
    <d v="2026-02-14T00:00:00"/>
    <s v="Feb 2026"/>
    <x v="5"/>
    <s v="Wales"/>
    <x v="2"/>
    <s v="Web Form"/>
    <x v="1"/>
    <s v="Daniel"/>
    <n v="7"/>
    <x v="1"/>
    <x v="1"/>
    <n v="5"/>
    <n v="1"/>
    <n v="1"/>
  </r>
  <r>
    <s v="UKT-0136"/>
    <d v="2026-01-25T00:00:00"/>
    <s v="Jan 2026"/>
    <x v="1"/>
    <s v="South West"/>
    <x v="2"/>
    <s v="Live Chat"/>
    <x v="2"/>
    <s v="Taylor"/>
    <n v="97.4"/>
    <x v="2"/>
    <x v="0"/>
    <n v="3"/>
    <n v="1"/>
    <n v="0"/>
  </r>
  <r>
    <s v="UKT-0137"/>
    <d v="2026-05-30T00:00:00"/>
    <s v="May 2026"/>
    <x v="6"/>
    <s v="Scotland"/>
    <x v="0"/>
    <s v="Live Chat"/>
    <x v="0"/>
    <s v="Jordan"/>
    <n v="1.8"/>
    <x v="0"/>
    <x v="1"/>
    <n v="5"/>
    <n v="1"/>
    <n v="1"/>
  </r>
  <r>
    <s v="UKT-0138"/>
    <d v="2026-03-24T00:00:00"/>
    <s v="Mar 2026"/>
    <x v="3"/>
    <s v="Yorkshire"/>
    <x v="1"/>
    <s v="Email"/>
    <x v="2"/>
    <s v="Riya"/>
    <n v="92.9"/>
    <x v="2"/>
    <x v="0"/>
    <n v="4"/>
    <n v="1"/>
    <n v="0"/>
  </r>
  <r>
    <s v="UKT-0139"/>
    <d v="2026-04-20T00:00:00"/>
    <s v="Apr 2026"/>
    <x v="0"/>
    <s v="South East"/>
    <x v="1"/>
    <s v="Email"/>
    <x v="1"/>
    <s v="Daniel"/>
    <n v="33.1"/>
    <x v="1"/>
    <x v="0"/>
    <n v="2"/>
    <n v="1"/>
    <n v="0"/>
  </r>
  <r>
    <s v="UKT-0140"/>
    <d v="2026-03-05T00:00:00"/>
    <s v="Mar 2026"/>
    <x v="3"/>
    <s v="Yorkshire"/>
    <x v="1"/>
    <s v="Phone"/>
    <x v="0"/>
    <s v="Morgan"/>
    <n v="23.6"/>
    <x v="0"/>
    <x v="1"/>
    <n v="5"/>
    <n v="1"/>
    <n v="1"/>
  </r>
  <r>
    <s v="UKT-0141"/>
    <d v="2026-02-15T00:00:00"/>
    <s v="Feb 2026"/>
    <x v="3"/>
    <s v="Yorkshire"/>
    <x v="2"/>
    <s v="Email"/>
    <x v="1"/>
    <s v="Taylor"/>
    <n v="14.6"/>
    <x v="1"/>
    <x v="1"/>
    <n v="4"/>
    <n v="1"/>
    <n v="1"/>
  </r>
  <r>
    <s v="UKT-0142"/>
    <d v="2026-03-03T00:00:00"/>
    <s v="Mar 2026"/>
    <x v="5"/>
    <s v="Wales"/>
    <x v="2"/>
    <s v="Phone"/>
    <x v="0"/>
    <s v="Riya"/>
    <n v="32.1"/>
    <x v="0"/>
    <x v="1"/>
    <n v="5"/>
    <n v="1"/>
    <n v="1"/>
  </r>
  <r>
    <s v="UKT-0143"/>
    <d v="2026-06-11T00:00:00"/>
    <s v="Jun 2026"/>
    <x v="3"/>
    <s v="Yorkshire"/>
    <x v="2"/>
    <s v="Live Chat"/>
    <x v="0"/>
    <s v="Sam"/>
    <n v="20.5"/>
    <x v="0"/>
    <x v="1"/>
    <n v="2"/>
    <n v="1"/>
    <n v="1"/>
  </r>
  <r>
    <s v="UKT-0144"/>
    <d v="2026-01-12T00:00:00"/>
    <s v="Jan 2026"/>
    <x v="3"/>
    <s v="Yorkshire"/>
    <x v="2"/>
    <s v="Web Form"/>
    <x v="2"/>
    <s v="Priya"/>
    <n v="18.600000000000001"/>
    <x v="2"/>
    <x v="1"/>
    <n v="5"/>
    <n v="1"/>
    <n v="1"/>
  </r>
  <r>
    <s v="UKT-0145"/>
    <d v="2026-06-25T00:00:00"/>
    <s v="Jun 2026"/>
    <x v="5"/>
    <s v="Wales"/>
    <x v="1"/>
    <s v="Email"/>
    <x v="2"/>
    <s v="Daniel"/>
    <n v="112.7"/>
    <x v="2"/>
    <x v="0"/>
    <n v="3"/>
    <n v="1"/>
    <n v="0"/>
  </r>
  <r>
    <s v="UKT-0146"/>
    <d v="2026-01-31T00:00:00"/>
    <s v="Jan 2026"/>
    <x v="0"/>
    <s v="South East"/>
    <x v="3"/>
    <s v="Phone"/>
    <x v="0"/>
    <s v="Aisha"/>
    <n v="46.6"/>
    <x v="0"/>
    <x v="1"/>
    <n v="3"/>
    <n v="1"/>
    <n v="1"/>
  </r>
  <r>
    <s v="UKT-0147"/>
    <d v="2026-03-13T00:00:00"/>
    <s v="Mar 2026"/>
    <x v="1"/>
    <s v="South West"/>
    <x v="3"/>
    <s v="Email"/>
    <x v="0"/>
    <s v="Alex"/>
    <n v="72.900000000000006"/>
    <x v="0"/>
    <x v="0"/>
    <n v="1"/>
    <n v="1"/>
    <n v="0"/>
  </r>
  <r>
    <s v="UKT-0148"/>
    <d v="2026-05-24T00:00:00"/>
    <s v="May 2026"/>
    <x v="3"/>
    <s v="Yorkshire"/>
    <x v="1"/>
    <s v="Live Chat"/>
    <x v="0"/>
    <s v="Alex"/>
    <n v="28.8"/>
    <x v="0"/>
    <x v="1"/>
    <n v="4"/>
    <n v="1"/>
    <n v="1"/>
  </r>
  <r>
    <s v="UKT-0149"/>
    <d v="2026-04-25T00:00:00"/>
    <s v="Apr 2026"/>
    <x v="3"/>
    <s v="Yorkshire"/>
    <x v="3"/>
    <s v="Email"/>
    <x v="0"/>
    <s v="Jordan"/>
    <n v="30.7"/>
    <x v="0"/>
    <x v="1"/>
    <n v="2"/>
    <n v="1"/>
    <n v="1"/>
  </r>
  <r>
    <s v="UKT-0150"/>
    <d v="2026-04-27T00:00:00"/>
    <s v="Apr 2026"/>
    <x v="3"/>
    <s v="Yorkshire"/>
    <x v="2"/>
    <s v="Phone"/>
    <x v="1"/>
    <s v="Sam"/>
    <n v="24.7"/>
    <x v="1"/>
    <x v="0"/>
    <n v="5"/>
    <n v="1"/>
    <n v="0"/>
  </r>
  <r>
    <s v="UKT-0151"/>
    <d v="2026-02-09T00:00:00"/>
    <s v="Feb 2026"/>
    <x v="3"/>
    <s v="Yorkshire"/>
    <x v="3"/>
    <s v="Email"/>
    <x v="0"/>
    <s v="Morgan"/>
    <n v="7.5"/>
    <x v="0"/>
    <x v="1"/>
    <n v="2"/>
    <n v="1"/>
    <n v="1"/>
  </r>
  <r>
    <s v="UKT-0152"/>
    <d v="2026-03-28T00:00:00"/>
    <s v="Mar 2026"/>
    <x v="0"/>
    <s v="South East"/>
    <x v="2"/>
    <s v="Live Chat"/>
    <x v="0"/>
    <s v="Sam"/>
    <n v="70.3"/>
    <x v="0"/>
    <x v="0"/>
    <n v="5"/>
    <n v="1"/>
    <n v="0"/>
  </r>
  <r>
    <s v="UKT-0153"/>
    <d v="2026-06-11T00:00:00"/>
    <s v="Jun 2026"/>
    <x v="5"/>
    <s v="Wales"/>
    <x v="0"/>
    <s v="Live Chat"/>
    <x v="0"/>
    <s v="Riya"/>
    <n v="60.9"/>
    <x v="0"/>
    <x v="0"/>
    <n v="3"/>
    <n v="1"/>
    <n v="0"/>
  </r>
  <r>
    <s v="UKT-0154"/>
    <d v="2026-06-03T00:00:00"/>
    <s v="Jun 2026"/>
    <x v="3"/>
    <s v="Yorkshire"/>
    <x v="1"/>
    <s v="Web Form"/>
    <x v="3"/>
    <s v="Daniel"/>
    <n v="5.8"/>
    <x v="3"/>
    <x v="1"/>
    <n v="4"/>
    <n v="1"/>
    <n v="1"/>
  </r>
  <r>
    <s v="UKT-0155"/>
    <d v="2026-03-09T00:00:00"/>
    <s v="Mar 2026"/>
    <x v="5"/>
    <s v="Wales"/>
    <x v="1"/>
    <s v="Live Chat"/>
    <x v="0"/>
    <s v="Aisha"/>
    <n v="55.6"/>
    <x v="0"/>
    <x v="0"/>
    <n v="5"/>
    <n v="1"/>
    <n v="0"/>
  </r>
  <r>
    <s v="UKT-0156"/>
    <d v="2026-04-12T00:00:00"/>
    <s v="Apr 2026"/>
    <x v="1"/>
    <s v="South West"/>
    <x v="3"/>
    <s v="Web Form"/>
    <x v="2"/>
    <s v="Priya"/>
    <n v="63.6"/>
    <x v="2"/>
    <x v="1"/>
    <n v="4"/>
    <n v="1"/>
    <n v="1"/>
  </r>
  <r>
    <s v="UKT-0157"/>
    <d v="2026-06-13T00:00:00"/>
    <s v="Jun 2026"/>
    <x v="6"/>
    <s v="Scotland"/>
    <x v="2"/>
    <s v="Phone"/>
    <x v="0"/>
    <s v="Morgan"/>
    <n v="72.3"/>
    <x v="0"/>
    <x v="0"/>
    <n v="3"/>
    <n v="1"/>
    <n v="0"/>
  </r>
  <r>
    <s v="UKT-0158"/>
    <d v="2026-03-08T00:00:00"/>
    <s v="Mar 2026"/>
    <x v="1"/>
    <s v="South West"/>
    <x v="0"/>
    <s v="Phone"/>
    <x v="2"/>
    <s v="Alex"/>
    <n v="96.3"/>
    <x v="2"/>
    <x v="0"/>
    <n v="4"/>
    <n v="1"/>
    <n v="0"/>
  </r>
  <r>
    <s v="UKT-0159"/>
    <d v="2026-06-19T00:00:00"/>
    <s v="Jun 2026"/>
    <x v="5"/>
    <s v="Wales"/>
    <x v="0"/>
    <s v="Phone"/>
    <x v="2"/>
    <s v="Jordan"/>
    <n v="111.7"/>
    <x v="2"/>
    <x v="0"/>
    <n v="2"/>
    <n v="1"/>
    <n v="0"/>
  </r>
  <r>
    <s v="UKT-0160"/>
    <d v="2026-01-19T00:00:00"/>
    <s v="Jan 2026"/>
    <x v="0"/>
    <s v="South East"/>
    <x v="3"/>
    <s v="Phone"/>
    <x v="0"/>
    <s v="Sam"/>
    <n v="71.3"/>
    <x v="0"/>
    <x v="0"/>
    <n v="3"/>
    <n v="1"/>
    <n v="0"/>
  </r>
  <r>
    <s v="UKT-0161"/>
    <d v="2026-02-01T00:00:00"/>
    <s v="Feb 2026"/>
    <x v="4"/>
    <s v="South East"/>
    <x v="3"/>
    <s v="Phone"/>
    <x v="1"/>
    <s v="Taylor"/>
    <n v="8.4"/>
    <x v="1"/>
    <x v="1"/>
    <n v="5"/>
    <n v="1"/>
    <n v="1"/>
  </r>
  <r>
    <s v="UKT-0162"/>
    <d v="2026-01-05T00:00:00"/>
    <s v="Jan 2026"/>
    <x v="1"/>
    <s v="South West"/>
    <x v="3"/>
    <s v="Web Form"/>
    <x v="1"/>
    <s v="Priya"/>
    <n v="7.2"/>
    <x v="1"/>
    <x v="1"/>
    <n v="3"/>
    <n v="1"/>
    <n v="1"/>
  </r>
  <r>
    <s v="UKT-0163"/>
    <d v="2026-01-03T00:00:00"/>
    <s v="Jan 2026"/>
    <x v="0"/>
    <s v="South East"/>
    <x v="0"/>
    <s v="Live Chat"/>
    <x v="2"/>
    <s v="Oliver"/>
    <n v="18.2"/>
    <x v="2"/>
    <x v="1"/>
    <n v="4"/>
    <n v="1"/>
    <n v="1"/>
  </r>
  <r>
    <s v="UKT-0164"/>
    <d v="2026-01-15T00:00:00"/>
    <s v="Jan 2026"/>
    <x v="4"/>
    <s v="South East"/>
    <x v="3"/>
    <s v="Live Chat"/>
    <x v="0"/>
    <s v="Priya"/>
    <n v="30.6"/>
    <x v="0"/>
    <x v="1"/>
    <n v="4"/>
    <n v="1"/>
    <n v="1"/>
  </r>
  <r>
    <s v="UKT-0165"/>
    <d v="2026-01-13T00:00:00"/>
    <s v="Jan 2026"/>
    <x v="7"/>
    <s v="North West"/>
    <x v="2"/>
    <s v="Email"/>
    <x v="0"/>
    <s v="Sam"/>
    <n v="47.1"/>
    <x v="0"/>
    <x v="1"/>
    <n v="1"/>
    <n v="1"/>
    <n v="1"/>
  </r>
  <r>
    <s v="UKT-0166"/>
    <d v="2026-04-19T00:00:00"/>
    <s v="Apr 2026"/>
    <x v="3"/>
    <s v="Yorkshire"/>
    <x v="2"/>
    <s v="Phone"/>
    <x v="2"/>
    <s v="Riya"/>
    <n v="100.1"/>
    <x v="2"/>
    <x v="0"/>
    <n v="4"/>
    <n v="1"/>
    <n v="0"/>
  </r>
  <r>
    <s v="UKT-0167"/>
    <d v="2026-05-15T00:00:00"/>
    <s v="May 2026"/>
    <x v="2"/>
    <s v="Midlands"/>
    <x v="0"/>
    <s v="Live Chat"/>
    <x v="2"/>
    <s v="Aisha"/>
    <n v="29.6"/>
    <x v="2"/>
    <x v="1"/>
    <n v="4"/>
    <n v="1"/>
    <n v="1"/>
  </r>
  <r>
    <s v="UKT-0168"/>
    <d v="2026-04-14T00:00:00"/>
    <s v="Apr 2026"/>
    <x v="2"/>
    <s v="Midlands"/>
    <x v="3"/>
    <s v="Email"/>
    <x v="1"/>
    <s v="Sam"/>
    <n v="1.4"/>
    <x v="1"/>
    <x v="1"/>
    <n v="2"/>
    <n v="1"/>
    <n v="1"/>
  </r>
  <r>
    <s v="UKT-0169"/>
    <d v="2026-05-13T00:00:00"/>
    <s v="May 2026"/>
    <x v="5"/>
    <s v="Wales"/>
    <x v="0"/>
    <s v="Email"/>
    <x v="2"/>
    <s v="Oliver"/>
    <n v="42.1"/>
    <x v="2"/>
    <x v="1"/>
    <n v="4"/>
    <n v="1"/>
    <n v="1"/>
  </r>
  <r>
    <s v="UKT-0170"/>
    <d v="2026-05-03T00:00:00"/>
    <s v="May 2026"/>
    <x v="3"/>
    <s v="Yorkshire"/>
    <x v="3"/>
    <s v="Phone"/>
    <x v="2"/>
    <s v="Morgan"/>
    <n v="70.8"/>
    <x v="2"/>
    <x v="1"/>
    <n v="3"/>
    <n v="1"/>
    <n v="1"/>
  </r>
  <r>
    <s v="UKT-0171"/>
    <d v="2026-03-27T00:00:00"/>
    <s v="Mar 2026"/>
    <x v="2"/>
    <s v="Midlands"/>
    <x v="0"/>
    <s v="Live Chat"/>
    <x v="0"/>
    <s v="Daniel"/>
    <n v="48.3"/>
    <x v="0"/>
    <x v="0"/>
    <n v="3"/>
    <n v="1"/>
    <n v="0"/>
  </r>
  <r>
    <s v="UKT-0172"/>
    <d v="2026-03-01T00:00:00"/>
    <s v="Mar 2026"/>
    <x v="2"/>
    <s v="Midlands"/>
    <x v="2"/>
    <s v="Phone"/>
    <x v="2"/>
    <s v="Priya"/>
    <n v="38.799999999999997"/>
    <x v="2"/>
    <x v="1"/>
    <n v="4"/>
    <n v="1"/>
    <n v="1"/>
  </r>
  <r>
    <s v="UKT-0173"/>
    <d v="2026-05-11T00:00:00"/>
    <s v="May 2026"/>
    <x v="6"/>
    <s v="Scotland"/>
    <x v="0"/>
    <s v="Live Chat"/>
    <x v="0"/>
    <s v="Sam"/>
    <n v="19.100000000000001"/>
    <x v="0"/>
    <x v="1"/>
    <n v="3"/>
    <n v="1"/>
    <n v="1"/>
  </r>
  <r>
    <s v="UKT-0174"/>
    <d v="2026-06-29T00:00:00"/>
    <s v="Jun 2026"/>
    <x v="0"/>
    <s v="South East"/>
    <x v="0"/>
    <s v="Email"/>
    <x v="3"/>
    <s v="Jordan"/>
    <n v="3.9"/>
    <x v="3"/>
    <x v="1"/>
    <n v="5"/>
    <n v="1"/>
    <n v="1"/>
  </r>
  <r>
    <s v="UKT-0175"/>
    <d v="2026-03-14T00:00:00"/>
    <s v="Mar 2026"/>
    <x v="5"/>
    <s v="Wales"/>
    <x v="1"/>
    <s v="Email"/>
    <x v="0"/>
    <s v="Oliver"/>
    <n v="5.7"/>
    <x v="0"/>
    <x v="1"/>
    <n v="3"/>
    <n v="1"/>
    <n v="1"/>
  </r>
  <r>
    <s v="UKT-0176"/>
    <d v="2026-03-27T00:00:00"/>
    <s v="Mar 2026"/>
    <x v="3"/>
    <s v="Yorkshire"/>
    <x v="3"/>
    <s v="Phone"/>
    <x v="0"/>
    <s v="Sam"/>
    <n v="50.8"/>
    <x v="0"/>
    <x v="0"/>
    <n v="1"/>
    <n v="1"/>
    <n v="0"/>
  </r>
  <r>
    <s v="UKT-0177"/>
    <d v="2026-04-25T00:00:00"/>
    <s v="Apr 2026"/>
    <x v="3"/>
    <s v="Yorkshire"/>
    <x v="3"/>
    <s v="Phone"/>
    <x v="0"/>
    <s v="Taylor"/>
    <n v="22.9"/>
    <x v="0"/>
    <x v="1"/>
    <n v="5"/>
    <n v="1"/>
    <n v="1"/>
  </r>
  <r>
    <s v="UKT-0178"/>
    <d v="2026-01-17T00:00:00"/>
    <s v="Jan 2026"/>
    <x v="3"/>
    <s v="Yorkshire"/>
    <x v="2"/>
    <s v="Web Form"/>
    <x v="0"/>
    <s v="Riya"/>
    <n v="71.099999999999994"/>
    <x v="0"/>
    <x v="0"/>
    <n v="2"/>
    <n v="1"/>
    <n v="0"/>
  </r>
  <r>
    <s v="UKT-0179"/>
    <d v="2026-06-05T00:00:00"/>
    <s v="Jun 2026"/>
    <x v="6"/>
    <s v="Scotland"/>
    <x v="2"/>
    <s v="Live Chat"/>
    <x v="0"/>
    <s v="Jordan"/>
    <n v="8.6999999999999993"/>
    <x v="0"/>
    <x v="1"/>
    <n v="4"/>
    <n v="1"/>
    <n v="1"/>
  </r>
  <r>
    <s v="UKT-0180"/>
    <d v="2026-05-06T00:00:00"/>
    <s v="May 2026"/>
    <x v="7"/>
    <s v="North West"/>
    <x v="2"/>
    <s v="Phone"/>
    <x v="0"/>
    <s v="Priya"/>
    <n v="70.099999999999994"/>
    <x v="0"/>
    <x v="0"/>
    <n v="2"/>
    <n v="1"/>
    <n v="0"/>
  </r>
  <r>
    <s v="UKT-0181"/>
    <d v="2026-06-04T00:00:00"/>
    <s v="Jun 2026"/>
    <x v="4"/>
    <s v="South East"/>
    <x v="0"/>
    <s v="Email"/>
    <x v="1"/>
    <s v="Aisha"/>
    <n v="16.899999999999999"/>
    <x v="1"/>
    <x v="1"/>
    <n v="5"/>
    <n v="1"/>
    <n v="1"/>
  </r>
  <r>
    <s v="UKT-0182"/>
    <d v="2026-01-08T00:00:00"/>
    <s v="Jan 2026"/>
    <x v="1"/>
    <s v="South West"/>
    <x v="2"/>
    <s v="Email"/>
    <x v="3"/>
    <s v="Morgan"/>
    <n v="1.9"/>
    <x v="3"/>
    <x v="1"/>
    <n v="5"/>
    <n v="1"/>
    <n v="1"/>
  </r>
  <r>
    <s v="UKT-0183"/>
    <d v="2026-06-05T00:00:00"/>
    <s v="Jun 2026"/>
    <x v="6"/>
    <s v="Scotland"/>
    <x v="2"/>
    <s v="Live Chat"/>
    <x v="0"/>
    <s v="Priya"/>
    <n v="33.700000000000003"/>
    <x v="0"/>
    <x v="1"/>
    <n v="5"/>
    <n v="1"/>
    <n v="1"/>
  </r>
  <r>
    <s v="UKT-0184"/>
    <d v="2026-01-04T00:00:00"/>
    <s v="Jan 2026"/>
    <x v="4"/>
    <s v="South East"/>
    <x v="1"/>
    <s v="Web Form"/>
    <x v="0"/>
    <s v="Taylor"/>
    <n v="13.9"/>
    <x v="0"/>
    <x v="1"/>
    <n v="4"/>
    <n v="1"/>
    <n v="1"/>
  </r>
  <r>
    <s v="UKT-0185"/>
    <d v="2026-05-12T00:00:00"/>
    <s v="May 2026"/>
    <x v="0"/>
    <s v="South East"/>
    <x v="3"/>
    <s v="Live Chat"/>
    <x v="0"/>
    <s v="Priya"/>
    <n v="36.5"/>
    <x v="0"/>
    <x v="1"/>
    <n v="5"/>
    <n v="1"/>
    <n v="1"/>
  </r>
  <r>
    <s v="UKT-0186"/>
    <d v="2026-01-25T00:00:00"/>
    <s v="Jan 2026"/>
    <x v="7"/>
    <s v="North West"/>
    <x v="3"/>
    <s v="Email"/>
    <x v="0"/>
    <s v="Oliver"/>
    <n v="75.599999999999994"/>
    <x v="0"/>
    <x v="0"/>
    <n v="2"/>
    <n v="1"/>
    <n v="0"/>
  </r>
  <r>
    <s v="UKT-0187"/>
    <d v="2026-04-26T00:00:00"/>
    <s v="Apr 2026"/>
    <x v="2"/>
    <s v="Midlands"/>
    <x v="2"/>
    <s v="Email"/>
    <x v="1"/>
    <s v="Jordan"/>
    <n v="16.3"/>
    <x v="1"/>
    <x v="1"/>
    <n v="4"/>
    <n v="1"/>
    <n v="1"/>
  </r>
  <r>
    <s v="UKT-0188"/>
    <d v="2026-01-12T00:00:00"/>
    <s v="Jan 2026"/>
    <x v="6"/>
    <s v="Scotland"/>
    <x v="3"/>
    <s v="Phone"/>
    <x v="2"/>
    <s v="Aisha"/>
    <n v="111.5"/>
    <x v="2"/>
    <x v="0"/>
    <n v="2"/>
    <n v="1"/>
    <n v="0"/>
  </r>
  <r>
    <s v="UKT-0189"/>
    <d v="2026-04-12T00:00:00"/>
    <s v="Apr 2026"/>
    <x v="1"/>
    <s v="South West"/>
    <x v="1"/>
    <s v="Web Form"/>
    <x v="0"/>
    <s v="Sam"/>
    <n v="76.400000000000006"/>
    <x v="0"/>
    <x v="0"/>
    <n v="4"/>
    <n v="1"/>
    <n v="0"/>
  </r>
  <r>
    <s v="UKT-0190"/>
    <d v="2026-01-30T00:00:00"/>
    <s v="Jan 2026"/>
    <x v="2"/>
    <s v="Midlands"/>
    <x v="1"/>
    <s v="Email"/>
    <x v="0"/>
    <s v="Daniel"/>
    <n v="55.2"/>
    <x v="0"/>
    <x v="0"/>
    <n v="2"/>
    <n v="1"/>
    <n v="0"/>
  </r>
  <r>
    <s v="UKT-0191"/>
    <d v="2026-05-15T00:00:00"/>
    <s v="May 2026"/>
    <x v="1"/>
    <s v="South West"/>
    <x v="3"/>
    <s v="Web Form"/>
    <x v="1"/>
    <s v="Alex"/>
    <n v="36.9"/>
    <x v="1"/>
    <x v="0"/>
    <n v="3"/>
    <n v="1"/>
    <n v="0"/>
  </r>
  <r>
    <s v="UKT-0192"/>
    <d v="2026-05-25T00:00:00"/>
    <s v="May 2026"/>
    <x v="3"/>
    <s v="Yorkshire"/>
    <x v="1"/>
    <s v="Email"/>
    <x v="0"/>
    <s v="Oliver"/>
    <n v="5"/>
    <x v="0"/>
    <x v="1"/>
    <n v="5"/>
    <n v="1"/>
    <n v="1"/>
  </r>
  <r>
    <s v="UKT-0193"/>
    <d v="2026-05-15T00:00:00"/>
    <s v="May 2026"/>
    <x v="1"/>
    <s v="South West"/>
    <x v="3"/>
    <s v="Phone"/>
    <x v="0"/>
    <s v="Priya"/>
    <n v="70.8"/>
    <x v="0"/>
    <x v="0"/>
    <n v="2"/>
    <n v="1"/>
    <n v="0"/>
  </r>
  <r>
    <s v="UKT-0194"/>
    <d v="2026-01-31T00:00:00"/>
    <s v="Jan 2026"/>
    <x v="2"/>
    <s v="Midlands"/>
    <x v="3"/>
    <s v="Live Chat"/>
    <x v="1"/>
    <s v="Sam"/>
    <n v="4.4000000000000004"/>
    <x v="1"/>
    <x v="1"/>
    <n v="4"/>
    <n v="1"/>
    <n v="1"/>
  </r>
  <r>
    <s v="UKT-0195"/>
    <d v="2026-03-12T00:00:00"/>
    <s v="Mar 2026"/>
    <x v="4"/>
    <s v="South East"/>
    <x v="3"/>
    <s v="Phone"/>
    <x v="0"/>
    <s v="Riya"/>
    <n v="63.1"/>
    <x v="0"/>
    <x v="0"/>
    <n v="3"/>
    <n v="1"/>
    <n v="0"/>
  </r>
  <r>
    <s v="UKT-0196"/>
    <d v="2026-03-03T00:00:00"/>
    <s v="Mar 2026"/>
    <x v="1"/>
    <s v="South West"/>
    <x v="1"/>
    <s v="Phone"/>
    <x v="1"/>
    <s v="Oliver"/>
    <n v="30.7"/>
    <x v="1"/>
    <x v="0"/>
    <n v="3"/>
    <n v="1"/>
    <n v="0"/>
  </r>
  <r>
    <s v="UKT-0197"/>
    <d v="2026-06-27T00:00:00"/>
    <s v="Jun 2026"/>
    <x v="7"/>
    <s v="North West"/>
    <x v="2"/>
    <s v="Phone"/>
    <x v="2"/>
    <s v="Oliver"/>
    <n v="65.7"/>
    <x v="2"/>
    <x v="1"/>
    <n v="1"/>
    <n v="1"/>
    <n v="1"/>
  </r>
  <r>
    <s v="UKT-0198"/>
    <d v="2026-05-23T00:00:00"/>
    <s v="May 2026"/>
    <x v="7"/>
    <s v="North West"/>
    <x v="0"/>
    <s v="Live Chat"/>
    <x v="0"/>
    <s v="Sam"/>
    <n v="17.399999999999999"/>
    <x v="0"/>
    <x v="1"/>
    <n v="3"/>
    <n v="1"/>
    <n v="1"/>
  </r>
  <r>
    <s v="UKT-0199"/>
    <d v="2026-04-12T00:00:00"/>
    <s v="Apr 2026"/>
    <x v="0"/>
    <s v="South East"/>
    <x v="2"/>
    <s v="Phone"/>
    <x v="1"/>
    <s v="Aisha"/>
    <n v="10.5"/>
    <x v="1"/>
    <x v="1"/>
    <n v="5"/>
    <n v="1"/>
    <n v="1"/>
  </r>
  <r>
    <s v="UKT-0200"/>
    <d v="2026-04-17T00:00:00"/>
    <s v="Apr 2026"/>
    <x v="0"/>
    <s v="South East"/>
    <x v="3"/>
    <s v="Web Form"/>
    <x v="1"/>
    <s v="Jordan"/>
    <n v="18.899999999999999"/>
    <x v="1"/>
    <x v="1"/>
    <n v="5"/>
    <n v="1"/>
    <n v="1"/>
  </r>
  <r>
    <s v="UKT-0201"/>
    <d v="2026-04-15T00:00:00"/>
    <s v="Apr 2026"/>
    <x v="0"/>
    <s v="South East"/>
    <x v="3"/>
    <s v="Email"/>
    <x v="0"/>
    <s v="Alex"/>
    <n v="32.4"/>
    <x v="0"/>
    <x v="1"/>
    <n v="4"/>
    <n v="1"/>
    <n v="1"/>
  </r>
  <r>
    <s v="UKT-0202"/>
    <d v="2026-06-19T00:00:00"/>
    <s v="Jun 2026"/>
    <x v="7"/>
    <s v="North West"/>
    <x v="1"/>
    <s v="Phone"/>
    <x v="3"/>
    <s v="Jordan"/>
    <n v="4.5999999999999996"/>
    <x v="3"/>
    <x v="1"/>
    <n v="4"/>
    <n v="1"/>
    <n v="1"/>
  </r>
  <r>
    <s v="UKT-0203"/>
    <d v="2026-01-16T00:00:00"/>
    <s v="Jan 2026"/>
    <x v="6"/>
    <s v="Scotland"/>
    <x v="0"/>
    <s v="Live Chat"/>
    <x v="0"/>
    <s v="Morgan"/>
    <n v="41.1"/>
    <x v="0"/>
    <x v="1"/>
    <n v="4"/>
    <n v="1"/>
    <n v="1"/>
  </r>
  <r>
    <s v="UKT-0204"/>
    <d v="2026-04-12T00:00:00"/>
    <s v="Apr 2026"/>
    <x v="7"/>
    <s v="North West"/>
    <x v="3"/>
    <s v="Live Chat"/>
    <x v="0"/>
    <s v="Morgan"/>
    <n v="76.8"/>
    <x v="0"/>
    <x v="0"/>
    <n v="4"/>
    <n v="1"/>
    <n v="0"/>
  </r>
  <r>
    <s v="UKT-0205"/>
    <d v="2026-03-25T00:00:00"/>
    <s v="Mar 2026"/>
    <x v="3"/>
    <s v="Yorkshire"/>
    <x v="2"/>
    <s v="Web Form"/>
    <x v="1"/>
    <s v="Riya"/>
    <n v="34.4"/>
    <x v="1"/>
    <x v="0"/>
    <n v="4"/>
    <n v="1"/>
    <n v="0"/>
  </r>
  <r>
    <s v="UKT-0206"/>
    <d v="2026-06-18T00:00:00"/>
    <s v="Jun 2026"/>
    <x v="5"/>
    <s v="Wales"/>
    <x v="2"/>
    <s v="Live Chat"/>
    <x v="0"/>
    <s v="Alex"/>
    <n v="55.5"/>
    <x v="0"/>
    <x v="0"/>
    <n v="2"/>
    <n v="1"/>
    <n v="0"/>
  </r>
  <r>
    <s v="UKT-0207"/>
    <d v="2026-03-22T00:00:00"/>
    <s v="Mar 2026"/>
    <x v="2"/>
    <s v="Midlands"/>
    <x v="3"/>
    <s v="Web Form"/>
    <x v="0"/>
    <s v="Alex"/>
    <n v="34"/>
    <x v="0"/>
    <x v="1"/>
    <n v="3"/>
    <n v="1"/>
    <n v="1"/>
  </r>
  <r>
    <s v="UKT-0208"/>
    <d v="2026-01-09T00:00:00"/>
    <s v="Jan 2026"/>
    <x v="6"/>
    <s v="Scotland"/>
    <x v="0"/>
    <s v="Email"/>
    <x v="0"/>
    <s v="Priya"/>
    <n v="57.5"/>
    <x v="0"/>
    <x v="0"/>
    <n v="1"/>
    <n v="1"/>
    <n v="0"/>
  </r>
  <r>
    <s v="UKT-0209"/>
    <d v="2026-04-06T00:00:00"/>
    <s v="Apr 2026"/>
    <x v="2"/>
    <s v="Midlands"/>
    <x v="3"/>
    <s v="Live Chat"/>
    <x v="0"/>
    <s v="Daniel"/>
    <n v="33.6"/>
    <x v="0"/>
    <x v="1"/>
    <n v="5"/>
    <n v="1"/>
    <n v="1"/>
  </r>
  <r>
    <s v="UKT-0210"/>
    <d v="2026-05-21T00:00:00"/>
    <s v="May 2026"/>
    <x v="7"/>
    <s v="North West"/>
    <x v="0"/>
    <s v="Phone"/>
    <x v="0"/>
    <s v="Aisha"/>
    <n v="10.3"/>
    <x v="0"/>
    <x v="1"/>
    <n v="5"/>
    <n v="1"/>
    <n v="1"/>
  </r>
  <r>
    <s v="UKT-0211"/>
    <d v="2026-04-13T00:00:00"/>
    <s v="Apr 2026"/>
    <x v="7"/>
    <s v="North West"/>
    <x v="2"/>
    <s v="Email"/>
    <x v="0"/>
    <s v="Daniel"/>
    <n v="13.5"/>
    <x v="0"/>
    <x v="1"/>
    <n v="5"/>
    <n v="1"/>
    <n v="1"/>
  </r>
  <r>
    <s v="UKT-0212"/>
    <d v="2026-06-30T00:00:00"/>
    <s v="Jun 2026"/>
    <x v="5"/>
    <s v="Wales"/>
    <x v="3"/>
    <s v="Phone"/>
    <x v="1"/>
    <s v="Sam"/>
    <n v="2.8"/>
    <x v="1"/>
    <x v="1"/>
    <n v="4"/>
    <n v="1"/>
    <n v="1"/>
  </r>
  <r>
    <s v="UKT-0213"/>
    <d v="2026-03-31T00:00:00"/>
    <s v="Mar 2026"/>
    <x v="5"/>
    <s v="Wales"/>
    <x v="0"/>
    <s v="Email"/>
    <x v="2"/>
    <s v="Riya"/>
    <n v="95.4"/>
    <x v="2"/>
    <x v="0"/>
    <n v="4"/>
    <n v="1"/>
    <n v="0"/>
  </r>
  <r>
    <s v="UKT-0214"/>
    <d v="2026-01-10T00:00:00"/>
    <s v="Jan 2026"/>
    <x v="5"/>
    <s v="Wales"/>
    <x v="3"/>
    <s v="Phone"/>
    <x v="2"/>
    <s v="Jordan"/>
    <n v="44.1"/>
    <x v="2"/>
    <x v="1"/>
    <n v="5"/>
    <n v="1"/>
    <n v="1"/>
  </r>
  <r>
    <s v="UKT-0215"/>
    <d v="2026-03-24T00:00:00"/>
    <s v="Mar 2026"/>
    <x v="4"/>
    <s v="South East"/>
    <x v="0"/>
    <s v="Phone"/>
    <x v="0"/>
    <s v="Oliver"/>
    <n v="43.8"/>
    <x v="0"/>
    <x v="1"/>
    <n v="5"/>
    <n v="1"/>
    <n v="1"/>
  </r>
  <r>
    <s v="UKT-0216"/>
    <d v="2026-06-29T00:00:00"/>
    <s v="Jun 2026"/>
    <x v="1"/>
    <s v="South West"/>
    <x v="1"/>
    <s v="Phone"/>
    <x v="2"/>
    <s v="Morgan"/>
    <n v="82.2"/>
    <x v="2"/>
    <x v="0"/>
    <n v="3"/>
    <n v="1"/>
    <n v="0"/>
  </r>
  <r>
    <s v="UKT-0217"/>
    <d v="2026-05-30T00:00:00"/>
    <s v="May 2026"/>
    <x v="2"/>
    <s v="Midlands"/>
    <x v="1"/>
    <s v="Email"/>
    <x v="1"/>
    <s v="Sam"/>
    <n v="13.6"/>
    <x v="1"/>
    <x v="1"/>
    <n v="5"/>
    <n v="1"/>
    <n v="1"/>
  </r>
  <r>
    <s v="UKT-0218"/>
    <d v="2026-01-23T00:00:00"/>
    <s v="Jan 2026"/>
    <x v="0"/>
    <s v="South East"/>
    <x v="3"/>
    <s v="Live Chat"/>
    <x v="1"/>
    <s v="Daniel"/>
    <n v="2.8"/>
    <x v="1"/>
    <x v="1"/>
    <n v="5"/>
    <n v="1"/>
    <n v="1"/>
  </r>
  <r>
    <s v="UKT-0219"/>
    <d v="2026-06-09T00:00:00"/>
    <s v="Jun 2026"/>
    <x v="2"/>
    <s v="Midlands"/>
    <x v="0"/>
    <s v="Email"/>
    <x v="3"/>
    <s v="Alex"/>
    <n v="6.3"/>
    <x v="3"/>
    <x v="1"/>
    <n v="3"/>
    <n v="1"/>
    <n v="1"/>
  </r>
  <r>
    <s v="UKT-0220"/>
    <d v="2026-06-30T00:00:00"/>
    <s v="Jun 2026"/>
    <x v="7"/>
    <s v="North West"/>
    <x v="1"/>
    <s v="Email"/>
    <x v="0"/>
    <s v="Alex"/>
    <n v="33.700000000000003"/>
    <x v="0"/>
    <x v="1"/>
    <n v="5"/>
    <n v="1"/>
    <n v="1"/>
  </r>
  <r>
    <s v="UKT-0221"/>
    <d v="2026-03-11T00:00:00"/>
    <s v="Mar 2026"/>
    <x v="6"/>
    <s v="Scotland"/>
    <x v="2"/>
    <s v="Live Chat"/>
    <x v="0"/>
    <s v="Jordan"/>
    <n v="5.0999999999999996"/>
    <x v="0"/>
    <x v="1"/>
    <n v="5"/>
    <n v="1"/>
    <n v="1"/>
  </r>
  <r>
    <s v="UKT-0222"/>
    <d v="2026-04-30T00:00:00"/>
    <s v="Apr 2026"/>
    <x v="6"/>
    <s v="Scotland"/>
    <x v="2"/>
    <s v="Live Chat"/>
    <x v="1"/>
    <s v="Priya"/>
    <n v="20.399999999999999"/>
    <x v="1"/>
    <x v="1"/>
    <n v="4"/>
    <n v="1"/>
    <n v="1"/>
  </r>
  <r>
    <s v="UKT-0223"/>
    <d v="2026-02-24T00:00:00"/>
    <s v="Feb 2026"/>
    <x v="6"/>
    <s v="Scotland"/>
    <x v="3"/>
    <s v="Live Chat"/>
    <x v="1"/>
    <s v="Oliver"/>
    <n v="3.5"/>
    <x v="1"/>
    <x v="1"/>
    <n v="2"/>
    <n v="1"/>
    <n v="1"/>
  </r>
  <r>
    <s v="UKT-0224"/>
    <d v="2026-06-28T00:00:00"/>
    <s v="Jun 2026"/>
    <x v="4"/>
    <s v="South East"/>
    <x v="3"/>
    <s v="Live Chat"/>
    <x v="0"/>
    <s v="Aisha"/>
    <n v="59.1"/>
    <x v="0"/>
    <x v="0"/>
    <n v="3"/>
    <n v="1"/>
    <n v="0"/>
  </r>
  <r>
    <s v="UKT-0225"/>
    <d v="2026-02-06T00:00:00"/>
    <s v="Feb 2026"/>
    <x v="1"/>
    <s v="South West"/>
    <x v="0"/>
    <s v="Web Form"/>
    <x v="0"/>
    <s v="Alex"/>
    <n v="16.399999999999999"/>
    <x v="0"/>
    <x v="1"/>
    <n v="4"/>
    <n v="1"/>
    <n v="1"/>
  </r>
  <r>
    <s v="UKT-0226"/>
    <d v="2026-02-10T00:00:00"/>
    <s v="Feb 2026"/>
    <x v="3"/>
    <s v="Yorkshire"/>
    <x v="1"/>
    <s v="Email"/>
    <x v="2"/>
    <s v="Priya"/>
    <n v="106.3"/>
    <x v="2"/>
    <x v="0"/>
    <n v="5"/>
    <n v="1"/>
    <n v="0"/>
  </r>
  <r>
    <s v="UKT-0227"/>
    <d v="2026-06-06T00:00:00"/>
    <s v="Jun 2026"/>
    <x v="0"/>
    <s v="South East"/>
    <x v="3"/>
    <s v="Web Form"/>
    <x v="0"/>
    <s v="Aisha"/>
    <n v="36.1"/>
    <x v="0"/>
    <x v="1"/>
    <n v="4"/>
    <n v="1"/>
    <n v="1"/>
  </r>
  <r>
    <s v="UKT-0228"/>
    <d v="2026-05-31T00:00:00"/>
    <s v="May 2026"/>
    <x v="3"/>
    <s v="Yorkshire"/>
    <x v="2"/>
    <s v="Email"/>
    <x v="0"/>
    <s v="Jordan"/>
    <n v="12.5"/>
    <x v="0"/>
    <x v="1"/>
    <n v="5"/>
    <n v="1"/>
    <n v="1"/>
  </r>
  <r>
    <s v="UKT-0229"/>
    <d v="2026-03-01T00:00:00"/>
    <s v="Mar 2026"/>
    <x v="3"/>
    <s v="Yorkshire"/>
    <x v="1"/>
    <s v="Phone"/>
    <x v="0"/>
    <s v="Priya"/>
    <n v="50.4"/>
    <x v="0"/>
    <x v="0"/>
    <n v="3"/>
    <n v="1"/>
    <n v="0"/>
  </r>
  <r>
    <s v="UKT-0230"/>
    <d v="2026-02-10T00:00:00"/>
    <s v="Feb 2026"/>
    <x v="3"/>
    <s v="Yorkshire"/>
    <x v="1"/>
    <s v="Email"/>
    <x v="0"/>
    <s v="Sam"/>
    <n v="31.2"/>
    <x v="0"/>
    <x v="1"/>
    <n v="5"/>
    <n v="1"/>
    <n v="1"/>
  </r>
  <r>
    <s v="UKT-0231"/>
    <d v="2026-02-13T00:00:00"/>
    <s v="Feb 2026"/>
    <x v="2"/>
    <s v="Midlands"/>
    <x v="1"/>
    <s v="Email"/>
    <x v="1"/>
    <s v="Riya"/>
    <n v="10.7"/>
    <x v="1"/>
    <x v="1"/>
    <n v="3"/>
    <n v="1"/>
    <n v="1"/>
  </r>
  <r>
    <s v="UKT-0232"/>
    <d v="2026-06-11T00:00:00"/>
    <s v="Jun 2026"/>
    <x v="0"/>
    <s v="South East"/>
    <x v="3"/>
    <s v="Phone"/>
    <x v="0"/>
    <s v="Sam"/>
    <n v="63.5"/>
    <x v="0"/>
    <x v="0"/>
    <n v="3"/>
    <n v="1"/>
    <n v="0"/>
  </r>
  <r>
    <s v="UKT-0233"/>
    <d v="2026-04-25T00:00:00"/>
    <s v="Apr 2026"/>
    <x v="6"/>
    <s v="Scotland"/>
    <x v="0"/>
    <s v="Email"/>
    <x v="1"/>
    <s v="Taylor"/>
    <n v="8.6"/>
    <x v="1"/>
    <x v="1"/>
    <n v="5"/>
    <n v="1"/>
    <n v="1"/>
  </r>
  <r>
    <s v="UKT-0234"/>
    <d v="2026-02-09T00:00:00"/>
    <s v="Feb 2026"/>
    <x v="5"/>
    <s v="Wales"/>
    <x v="0"/>
    <s v="Live Chat"/>
    <x v="0"/>
    <s v="Morgan"/>
    <n v="3.5"/>
    <x v="0"/>
    <x v="1"/>
    <n v="5"/>
    <n v="1"/>
    <n v="1"/>
  </r>
  <r>
    <s v="UKT-0235"/>
    <d v="2026-05-24T00:00:00"/>
    <s v="May 2026"/>
    <x v="0"/>
    <s v="South East"/>
    <x v="1"/>
    <s v="Web Form"/>
    <x v="1"/>
    <s v="Aisha"/>
    <n v="32.5"/>
    <x v="1"/>
    <x v="0"/>
    <n v="3"/>
    <n v="1"/>
    <n v="0"/>
  </r>
  <r>
    <s v="UKT-0236"/>
    <d v="2026-02-08T00:00:00"/>
    <s v="Feb 2026"/>
    <x v="0"/>
    <s v="South East"/>
    <x v="0"/>
    <s v="Web Form"/>
    <x v="2"/>
    <s v="Aisha"/>
    <n v="76.400000000000006"/>
    <x v="2"/>
    <x v="0"/>
    <n v="2"/>
    <n v="1"/>
    <n v="0"/>
  </r>
  <r>
    <s v="UKT-0237"/>
    <d v="2026-04-18T00:00:00"/>
    <s v="Apr 2026"/>
    <x v="0"/>
    <s v="South East"/>
    <x v="2"/>
    <s v="Live Chat"/>
    <x v="2"/>
    <s v="Taylor"/>
    <n v="104.6"/>
    <x v="2"/>
    <x v="0"/>
    <n v="1"/>
    <n v="1"/>
    <n v="0"/>
  </r>
  <r>
    <s v="UKT-0238"/>
    <d v="2026-04-28T00:00:00"/>
    <s v="Apr 2026"/>
    <x v="3"/>
    <s v="Yorkshire"/>
    <x v="3"/>
    <s v="Live Chat"/>
    <x v="3"/>
    <s v="Sam"/>
    <n v="6.3"/>
    <x v="3"/>
    <x v="1"/>
    <n v="3"/>
    <n v="1"/>
    <n v="1"/>
  </r>
  <r>
    <s v="UKT-0239"/>
    <d v="2026-01-16T00:00:00"/>
    <s v="Jan 2026"/>
    <x v="0"/>
    <s v="South East"/>
    <x v="2"/>
    <s v="Live Chat"/>
    <x v="2"/>
    <s v="Riya"/>
    <n v="56.1"/>
    <x v="2"/>
    <x v="1"/>
    <n v="3"/>
    <n v="1"/>
    <n v="1"/>
  </r>
  <r>
    <s v="UKT-0240"/>
    <d v="2026-02-22T00:00:00"/>
    <s v="Feb 2026"/>
    <x v="0"/>
    <s v="South East"/>
    <x v="2"/>
    <s v="Live Chat"/>
    <x v="0"/>
    <s v="Aisha"/>
    <n v="64.099999999999994"/>
    <x v="0"/>
    <x v="0"/>
    <n v="2"/>
    <n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EDBBCB-C7C4-44EB-A2C8-39C76AFA5B18}"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2" firstHeaderRow="1" firstDataRow="1" firstDataCol="1"/>
  <pivotFields count="15">
    <pivotField dataField="1" showAll="0"/>
    <pivotField numFmtId="164" showAll="0"/>
    <pivotField showAll="0"/>
    <pivotField axis="axisRow" showAll="0">
      <items count="9">
        <item x="2"/>
        <item x="1"/>
        <item x="5"/>
        <item x="6"/>
        <item x="3"/>
        <item x="0"/>
        <item x="7"/>
        <item x="4"/>
        <item t="default"/>
      </items>
    </pivotField>
    <pivotField showAll="0"/>
    <pivotField showAll="0"/>
    <pivotField showAll="0"/>
    <pivotField showAll="0">
      <items count="5">
        <item x="1"/>
        <item x="2"/>
        <item x="0"/>
        <item x="3"/>
        <item t="default"/>
      </items>
    </pivotField>
    <pivotField showAll="0"/>
    <pivotField numFmtId="165" showAll="0"/>
    <pivotField numFmtId="165" showAll="0"/>
    <pivotField showAll="0"/>
    <pivotField showAll="0"/>
    <pivotField showAll="0"/>
    <pivotField showAll="0"/>
  </pivotFields>
  <rowFields count="1">
    <field x="3"/>
  </rowFields>
  <rowItems count="9">
    <i>
      <x/>
    </i>
    <i>
      <x v="1"/>
    </i>
    <i>
      <x v="2"/>
    </i>
    <i>
      <x v="3"/>
    </i>
    <i>
      <x v="4"/>
    </i>
    <i>
      <x v="5"/>
    </i>
    <i>
      <x v="6"/>
    </i>
    <i>
      <x v="7"/>
    </i>
    <i t="grand">
      <x/>
    </i>
  </rowItems>
  <colItems count="1">
    <i/>
  </colItems>
  <dataFields count="1">
    <dataField name="Count of Ticket ID" fld="0" subtotal="count"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9621B1-07E1-42D6-8F76-D707790BAF81}"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F9" firstHeaderRow="1" firstDataRow="2" firstDataCol="1"/>
  <pivotFields count="15">
    <pivotField dataField="1" showAll="0"/>
    <pivotField numFmtId="164" showAll="0"/>
    <pivotField showAll="0"/>
    <pivotField showAll="0">
      <items count="9">
        <item x="2"/>
        <item x="1"/>
        <item x="5"/>
        <item x="6"/>
        <item x="3"/>
        <item x="0"/>
        <item x="7"/>
        <item x="4"/>
        <item t="default"/>
      </items>
    </pivotField>
    <pivotField showAll="0"/>
    <pivotField axis="axisRow" showAll="0">
      <items count="5">
        <item x="2"/>
        <item x="3"/>
        <item x="0"/>
        <item x="1"/>
        <item t="default"/>
      </items>
    </pivotField>
    <pivotField showAll="0"/>
    <pivotField axis="axisCol" showAll="0">
      <items count="5">
        <item x="1"/>
        <item x="2"/>
        <item x="0"/>
        <item x="3"/>
        <item t="default"/>
      </items>
    </pivotField>
    <pivotField showAll="0"/>
    <pivotField numFmtId="165" showAll="0"/>
    <pivotField numFmtId="165" showAll="0"/>
    <pivotField showAll="0"/>
    <pivotField showAll="0"/>
    <pivotField showAll="0"/>
    <pivotField showAll="0"/>
  </pivotFields>
  <rowFields count="1">
    <field x="5"/>
  </rowFields>
  <rowItems count="5">
    <i>
      <x/>
    </i>
    <i>
      <x v="1"/>
    </i>
    <i>
      <x v="2"/>
    </i>
    <i>
      <x v="3"/>
    </i>
    <i t="grand">
      <x/>
    </i>
  </rowItems>
  <colFields count="1">
    <field x="7"/>
  </colFields>
  <colItems count="5">
    <i>
      <x/>
    </i>
    <i>
      <x v="1"/>
    </i>
    <i>
      <x v="2"/>
    </i>
    <i>
      <x v="3"/>
    </i>
    <i t="grand">
      <x/>
    </i>
  </colItems>
  <dataFields count="1">
    <dataField name="Count of Ticket ID" fld="0" subtotal="count" baseField="0" baseItem="0"/>
  </dataFields>
  <chartFormats count="4">
    <chartFormat chart="4" format="4" series="1">
      <pivotArea type="data" outline="0" fieldPosition="0">
        <references count="2">
          <reference field="4294967294" count="1" selected="0">
            <x v="0"/>
          </reference>
          <reference field="7" count="1" selected="0">
            <x v="0"/>
          </reference>
        </references>
      </pivotArea>
    </chartFormat>
    <chartFormat chart="4" format="5" series="1">
      <pivotArea type="data" outline="0" fieldPosition="0">
        <references count="2">
          <reference field="4294967294" count="1" selected="0">
            <x v="0"/>
          </reference>
          <reference field="7" count="1" selected="0">
            <x v="1"/>
          </reference>
        </references>
      </pivotArea>
    </chartFormat>
    <chartFormat chart="4" format="6" series="1">
      <pivotArea type="data" outline="0" fieldPosition="0">
        <references count="2">
          <reference field="4294967294" count="1" selected="0">
            <x v="0"/>
          </reference>
          <reference field="7" count="1" selected="0">
            <x v="2"/>
          </reference>
        </references>
      </pivotArea>
    </chartFormat>
    <chartFormat chart="4" format="7"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1E565B-29EE-4481-BA3C-FB2EE946829C}"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9" firstHeaderRow="1" firstDataRow="2" firstDataCol="1"/>
  <pivotFields count="15">
    <pivotField dataField="1" showAll="0"/>
    <pivotField numFmtId="164" showAll="0"/>
    <pivotField showAll="0"/>
    <pivotField showAll="0">
      <items count="9">
        <item x="2"/>
        <item x="1"/>
        <item x="5"/>
        <item x="6"/>
        <item x="3"/>
        <item x="0"/>
        <item x="7"/>
        <item x="4"/>
        <item t="default"/>
      </items>
    </pivotField>
    <pivotField showAll="0"/>
    <pivotField axis="axisRow" showAll="0">
      <items count="5">
        <item x="2"/>
        <item x="3"/>
        <item x="0"/>
        <item x="1"/>
        <item t="default"/>
      </items>
    </pivotField>
    <pivotField showAll="0"/>
    <pivotField showAll="0">
      <items count="5">
        <item x="1"/>
        <item x="2"/>
        <item x="0"/>
        <item x="3"/>
        <item t="default"/>
      </items>
    </pivotField>
    <pivotField showAll="0"/>
    <pivotField numFmtId="165" showAll="0"/>
    <pivotField numFmtId="165" showAll="0">
      <items count="5">
        <item x="3"/>
        <item x="1"/>
        <item x="0"/>
        <item x="2"/>
        <item t="default"/>
      </items>
    </pivotField>
    <pivotField axis="axisCol" showAll="0">
      <items count="3">
        <item x="1"/>
        <item x="0"/>
        <item t="default"/>
      </items>
    </pivotField>
    <pivotField showAll="0"/>
    <pivotField showAll="0"/>
    <pivotField showAll="0"/>
  </pivotFields>
  <rowFields count="1">
    <field x="5"/>
  </rowFields>
  <rowItems count="5">
    <i>
      <x/>
    </i>
    <i>
      <x v="1"/>
    </i>
    <i>
      <x v="2"/>
    </i>
    <i>
      <x v="3"/>
    </i>
    <i t="grand">
      <x/>
    </i>
  </rowItems>
  <colFields count="1">
    <field x="11"/>
  </colFields>
  <colItems count="3">
    <i>
      <x/>
    </i>
    <i>
      <x v="1"/>
    </i>
    <i t="grand">
      <x/>
    </i>
  </colItems>
  <dataFields count="1">
    <dataField name="Count of Ticket ID" fld="0" subtotal="count" showDataAs="percentOfRow" baseField="0" baseItem="0" numFmtId="10"/>
  </dataFields>
  <chartFormats count="2">
    <chartFormat chart="3" format="2" series="1">
      <pivotArea type="data" outline="0" fieldPosition="0">
        <references count="2">
          <reference field="4294967294" count="1" selected="0">
            <x v="0"/>
          </reference>
          <reference field="11" count="1" selected="0">
            <x v="0"/>
          </reference>
        </references>
      </pivotArea>
    </chartFormat>
    <chartFormat chart="3" format="3"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337F83-71EF-4E88-BB4C-38AAB9A05C2D}"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6" firstHeaderRow="1" firstDataRow="3" firstDataCol="0"/>
  <pivotFields count="15">
    <pivotField dataField="1" showAll="0"/>
    <pivotField numFmtId="164" showAll="0"/>
    <pivotField showAll="0"/>
    <pivotField showAll="0">
      <items count="9">
        <item x="2"/>
        <item x="1"/>
        <item x="5"/>
        <item x="6"/>
        <item x="3"/>
        <item x="0"/>
        <item x="7"/>
        <item x="4"/>
        <item t="default"/>
      </items>
    </pivotField>
    <pivotField showAll="0"/>
    <pivotField showAll="0"/>
    <pivotField showAll="0"/>
    <pivotField showAll="0">
      <items count="5">
        <item x="1"/>
        <item x="2"/>
        <item x="0"/>
        <item x="3"/>
        <item t="default"/>
      </items>
    </pivotField>
    <pivotField showAll="0"/>
    <pivotField numFmtId="165" showAll="0"/>
    <pivotField numFmtId="165" showAll="0"/>
    <pivotField axis="axisCol" showAll="0">
      <items count="3">
        <item x="1"/>
        <item x="0"/>
        <item t="default"/>
      </items>
    </pivotField>
    <pivotField dataField="1" showAll="0"/>
    <pivotField showAll="0"/>
    <pivotField showAll="0"/>
  </pivotFields>
  <rowItems count="1">
    <i/>
  </rowItems>
  <colFields count="2">
    <field x="11"/>
    <field x="-2"/>
  </colFields>
  <colItems count="6">
    <i>
      <x/>
      <x/>
    </i>
    <i r="1" i="1">
      <x v="1"/>
    </i>
    <i>
      <x v="1"/>
      <x/>
    </i>
    <i r="1" i="1">
      <x v="1"/>
    </i>
    <i t="grand">
      <x/>
    </i>
    <i t="grand" i="1">
      <x/>
    </i>
  </colItems>
  <dataFields count="2">
    <dataField name="Count of Ticket ID" fld="0" subtotal="count" baseField="0" baseItem="0"/>
    <dataField name="Average of Customer Satisfaction (1-5)" fld="12" subtotal="average" baseField="11" baseItem="0"/>
  </dataFields>
  <formats count="1">
    <format dxfId="0">
      <pivotArea field="11" grandCol="1" outline="0" collapsedLevelsAreSubtotals="1" axis="axisCol"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4CFAEC9-F2C8-4BC1-B24D-44B13EE68BC3}" sourceName="City">
  <pivotTables>
    <pivotTable tabId="7" name="PivotTable4"/>
    <pivotTable tabId="4" name="PivotTable1"/>
    <pivotTable tabId="6" name="PivotTable3"/>
    <pivotTable tabId="8" name="PivotTable5"/>
  </pivotTables>
  <data>
    <tabular pivotCacheId="1592896829">
      <items count="8">
        <i x="2" s="1"/>
        <i x="1" s="1"/>
        <i x="5" s="1"/>
        <i x="6" s="1"/>
        <i x="3" s="1"/>
        <i x="0" s="1"/>
        <i x="7"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7B04A13C-AB16-4661-9649-12799F278671}" sourceName="Priority">
  <pivotTables>
    <pivotTable tabId="6" name="PivotTable3"/>
    <pivotTable tabId="4" name="PivotTable1"/>
    <pivotTable tabId="7" name="PivotTable4"/>
    <pivotTable tabId="8" name="PivotTable5"/>
  </pivotTables>
  <data>
    <tabular pivotCacheId="1592896829">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EDD89A59-746A-4CA7-94D9-4322C1273021}" cache="Slicer_City" caption="City" rowHeight="234950"/>
  <slicer name="Priority" xr10:uid="{0B256DE9-BF8E-4890-AE7F-910D6F847BA9}" cache="Slicer_Priority" caption="Priorit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UKSupportTickets" displayName="UKSupportTickets" ref="A1:O241" totalsRowShown="0">
  <tableColumns count="15">
    <tableColumn id="1" xr3:uid="{00000000-0010-0000-0000-000001000000}" name="Ticket ID"/>
    <tableColumn id="2" xr3:uid="{00000000-0010-0000-0000-000002000000}" name="Opened Date"/>
    <tableColumn id="3" xr3:uid="{00000000-0010-0000-0000-000003000000}" name="Month"/>
    <tableColumn id="4" xr3:uid="{00000000-0010-0000-0000-000004000000}" name="City"/>
    <tableColumn id="5" xr3:uid="{00000000-0010-0000-0000-000005000000}" name="Region"/>
    <tableColumn id="6" xr3:uid="{00000000-0010-0000-0000-000006000000}" name="Service Team"/>
    <tableColumn id="7" xr3:uid="{00000000-0010-0000-0000-000007000000}" name="Contact Channel"/>
    <tableColumn id="8" xr3:uid="{00000000-0010-0000-0000-000008000000}" name="Priority"/>
    <tableColumn id="9" xr3:uid="{00000000-0010-0000-0000-000009000000}" name="Agent"/>
    <tableColumn id="10" xr3:uid="{00000000-0010-0000-0000-00000A000000}" name="Resolution Hours"/>
    <tableColumn id="11" xr3:uid="{00000000-0010-0000-0000-00000B000000}" name="SLA Target Hours"/>
    <tableColumn id="12" xr3:uid="{00000000-0010-0000-0000-00000C000000}" name="SLA Status"/>
    <tableColumn id="13" xr3:uid="{00000000-0010-0000-0000-00000D000000}" name="Customer Satisfaction (1-5)"/>
    <tableColumn id="14" xr3:uid="{00000000-0010-0000-0000-00000E000000}" name="Ticket Count"/>
    <tableColumn id="15" xr3:uid="{00000000-0010-0000-0000-00000F000000}" name="SLA Met Coun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8"/>
  <sheetViews>
    <sheetView workbookViewId="0">
      <selection sqref="A1:H2"/>
    </sheetView>
  </sheetViews>
  <sheetFormatPr defaultRowHeight="13.8"/>
  <cols>
    <col min="1" max="1" width="19" customWidth="1"/>
    <col min="2" max="2" width="90" customWidth="1"/>
  </cols>
  <sheetData>
    <row r="1" spans="1:8" ht="22.35" customHeight="1">
      <c r="A1" s="9" t="s">
        <v>0</v>
      </c>
      <c r="B1" s="9"/>
      <c r="C1" s="9"/>
      <c r="D1" s="9"/>
      <c r="E1" s="9"/>
      <c r="F1" s="9"/>
      <c r="G1" s="9"/>
      <c r="H1" s="9"/>
    </row>
    <row r="2" spans="1:8" ht="22.35" customHeight="1">
      <c r="A2" s="9"/>
      <c r="B2" s="9"/>
      <c r="C2" s="9"/>
      <c r="D2" s="9"/>
      <c r="E2" s="9"/>
      <c r="F2" s="9"/>
      <c r="G2" s="9"/>
      <c r="H2" s="9"/>
    </row>
    <row r="4" spans="1:8">
      <c r="A4" s="10" t="s">
        <v>1</v>
      </c>
      <c r="B4" s="10"/>
      <c r="C4" s="10"/>
      <c r="D4" s="10"/>
      <c r="E4" s="10"/>
      <c r="F4" s="10"/>
      <c r="G4" s="10"/>
      <c r="H4" s="10"/>
    </row>
    <row r="6" spans="1:8" ht="28.05" customHeight="1">
      <c r="A6" s="4" t="s">
        <v>2</v>
      </c>
      <c r="B6" s="5" t="s">
        <v>3</v>
      </c>
    </row>
    <row r="7" spans="1:8" ht="28.05" customHeight="1">
      <c r="A7" s="4" t="s">
        <v>4</v>
      </c>
      <c r="B7" s="5" t="s">
        <v>5</v>
      </c>
    </row>
    <row r="8" spans="1:8" ht="28.05" customHeight="1">
      <c r="A8" s="4" t="s">
        <v>6</v>
      </c>
      <c r="B8" s="5" t="s">
        <v>7</v>
      </c>
    </row>
    <row r="9" spans="1:8" ht="28.05" customHeight="1">
      <c r="A9" s="4" t="s">
        <v>8</v>
      </c>
      <c r="B9" s="5" t="s">
        <v>9</v>
      </c>
    </row>
    <row r="10" spans="1:8" ht="28.05" customHeight="1">
      <c r="A10" s="4" t="s">
        <v>10</v>
      </c>
      <c r="B10" s="5" t="s">
        <v>11</v>
      </c>
    </row>
    <row r="11" spans="1:8" ht="28.05" customHeight="1">
      <c r="A11" s="4" t="s">
        <v>12</v>
      </c>
      <c r="B11" s="5" t="s">
        <v>13</v>
      </c>
    </row>
    <row r="12" spans="1:8" ht="28.05" customHeight="1">
      <c r="A12" s="4" t="s">
        <v>14</v>
      </c>
      <c r="B12" s="5" t="s">
        <v>15</v>
      </c>
    </row>
    <row r="13" spans="1:8" ht="28.05" customHeight="1">
      <c r="A13" s="4" t="s">
        <v>16</v>
      </c>
      <c r="B13" s="5" t="s">
        <v>17</v>
      </c>
    </row>
    <row r="14" spans="1:8" ht="28.05" customHeight="1">
      <c r="A14" s="4" t="s">
        <v>18</v>
      </c>
      <c r="B14" s="5" t="s">
        <v>19</v>
      </c>
    </row>
    <row r="15" spans="1:8" ht="28.05" customHeight="1">
      <c r="A15" s="4" t="s">
        <v>20</v>
      </c>
      <c r="B15" s="5" t="s">
        <v>21</v>
      </c>
    </row>
    <row r="16" spans="1:8" ht="28.05" customHeight="1">
      <c r="A16" s="4" t="s">
        <v>22</v>
      </c>
      <c r="B16" s="5" t="s">
        <v>23</v>
      </c>
    </row>
    <row r="17" spans="1:8" ht="28.05" customHeight="1">
      <c r="A17" s="4" t="s">
        <v>24</v>
      </c>
      <c r="B17" s="5" t="s">
        <v>25</v>
      </c>
    </row>
    <row r="18" spans="1:8" ht="28.05" customHeight="1">
      <c r="A18" s="4" t="s">
        <v>26</v>
      </c>
      <c r="B18" s="5" t="s">
        <v>27</v>
      </c>
    </row>
    <row r="19" spans="1:8" ht="28.05" customHeight="1">
      <c r="A19" s="4" t="s">
        <v>28</v>
      </c>
      <c r="B19" s="5" t="s">
        <v>29</v>
      </c>
    </row>
    <row r="20" spans="1:8" ht="28.05" customHeight="1">
      <c r="A20" s="4" t="s">
        <v>30</v>
      </c>
      <c r="B20" s="5" t="s">
        <v>31</v>
      </c>
    </row>
    <row r="21" spans="1:8" ht="28.05" customHeight="1">
      <c r="A21" s="4" t="s">
        <v>30</v>
      </c>
      <c r="B21" s="5" t="s">
        <v>32</v>
      </c>
    </row>
    <row r="23" spans="1:8">
      <c r="A23" s="10" t="s">
        <v>33</v>
      </c>
      <c r="B23" s="10"/>
      <c r="C23" s="10"/>
      <c r="D23" s="10"/>
      <c r="E23" s="10"/>
      <c r="F23" s="10"/>
      <c r="G23" s="10"/>
      <c r="H23" s="10"/>
    </row>
    <row r="25" spans="1:8">
      <c r="A25" s="6" t="s">
        <v>34</v>
      </c>
      <c r="B25">
        <v>240</v>
      </c>
    </row>
    <row r="26" spans="1:8">
      <c r="A26" s="6" t="s">
        <v>35</v>
      </c>
      <c r="B26">
        <v>151</v>
      </c>
    </row>
    <row r="27" spans="1:8">
      <c r="A27" s="6" t="s">
        <v>36</v>
      </c>
      <c r="B27">
        <v>89</v>
      </c>
    </row>
    <row r="28" spans="1:8">
      <c r="A28" s="6" t="s">
        <v>37</v>
      </c>
      <c r="B28" s="7">
        <v>3.64</v>
      </c>
    </row>
  </sheetData>
  <mergeCells count="3">
    <mergeCell ref="A1:H2"/>
    <mergeCell ref="A4:H4"/>
    <mergeCell ref="A23:H2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85BD0-3F01-47A5-A0AE-D5B6A02B465F}">
  <dimension ref="A3:B12"/>
  <sheetViews>
    <sheetView workbookViewId="0">
      <selection activeCell="M3" sqref="M3"/>
    </sheetView>
  </sheetViews>
  <sheetFormatPr defaultRowHeight="13.8"/>
  <cols>
    <col min="1" max="1" width="13.09765625" bestFit="1" customWidth="1"/>
    <col min="2" max="2" width="16.5" bestFit="1" customWidth="1"/>
  </cols>
  <sheetData>
    <row r="3" spans="1:2">
      <c r="A3" s="12" t="s">
        <v>344</v>
      </c>
      <c r="B3" t="s">
        <v>346</v>
      </c>
    </row>
    <row r="4" spans="1:2">
      <c r="A4" s="13" t="s">
        <v>72</v>
      </c>
      <c r="B4" s="14">
        <v>36</v>
      </c>
    </row>
    <row r="5" spans="1:2">
      <c r="A5" s="13" t="s">
        <v>64</v>
      </c>
      <c r="B5" s="14">
        <v>26</v>
      </c>
    </row>
    <row r="6" spans="1:2">
      <c r="A6" s="13" t="s">
        <v>96</v>
      </c>
      <c r="B6" s="14">
        <v>34</v>
      </c>
    </row>
    <row r="7" spans="1:2">
      <c r="A7" s="13" t="s">
        <v>99</v>
      </c>
      <c r="B7" s="14">
        <v>33</v>
      </c>
    </row>
    <row r="8" spans="1:2">
      <c r="A8" s="13" t="s">
        <v>89</v>
      </c>
      <c r="B8" s="14">
        <v>36</v>
      </c>
    </row>
    <row r="9" spans="1:2">
      <c r="A9" s="13" t="s">
        <v>55</v>
      </c>
      <c r="B9" s="14">
        <v>30</v>
      </c>
    </row>
    <row r="10" spans="1:2">
      <c r="A10" s="13" t="s">
        <v>106</v>
      </c>
      <c r="B10" s="14">
        <v>26</v>
      </c>
    </row>
    <row r="11" spans="1:2">
      <c r="A11" s="13" t="s">
        <v>94</v>
      </c>
      <c r="B11" s="14">
        <v>19</v>
      </c>
    </row>
    <row r="12" spans="1:2">
      <c r="A12" s="13" t="s">
        <v>345</v>
      </c>
      <c r="B12" s="14">
        <v>240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FEEA4-9B03-4E91-98C6-CCC8858003D7}">
  <dimension ref="A3:F9"/>
  <sheetViews>
    <sheetView workbookViewId="0">
      <selection activeCell="J8" sqref="J8"/>
    </sheetView>
  </sheetViews>
  <sheetFormatPr defaultRowHeight="13.8"/>
  <cols>
    <col min="1" max="1" width="16.5" bestFit="1" customWidth="1"/>
    <col min="2" max="2" width="16.09765625" bestFit="1" customWidth="1"/>
    <col min="3" max="3" width="4.59765625" bestFit="1" customWidth="1"/>
    <col min="4" max="4" width="7.8984375" bestFit="1" customWidth="1"/>
    <col min="5" max="5" width="6.796875" bestFit="1" customWidth="1"/>
    <col min="6" max="6" width="11" bestFit="1" customWidth="1"/>
  </cols>
  <sheetData>
    <row r="3" spans="1:6">
      <c r="A3" s="12" t="s">
        <v>346</v>
      </c>
      <c r="B3" s="12" t="s">
        <v>347</v>
      </c>
    </row>
    <row r="4" spans="1:6">
      <c r="A4" s="12" t="s">
        <v>344</v>
      </c>
      <c r="B4" t="s">
        <v>86</v>
      </c>
      <c r="C4" t="s">
        <v>92</v>
      </c>
      <c r="D4" t="s">
        <v>59</v>
      </c>
      <c r="E4" t="s">
        <v>121</v>
      </c>
      <c r="F4" t="s">
        <v>345</v>
      </c>
    </row>
    <row r="5" spans="1:6">
      <c r="A5" s="13" t="s">
        <v>74</v>
      </c>
      <c r="B5" s="14">
        <v>13</v>
      </c>
      <c r="C5" s="14">
        <v>12</v>
      </c>
      <c r="D5" s="14">
        <v>33</v>
      </c>
      <c r="E5" s="14">
        <v>2</v>
      </c>
      <c r="F5" s="14">
        <v>60</v>
      </c>
    </row>
    <row r="6" spans="1:6">
      <c r="A6" s="13" t="s">
        <v>78</v>
      </c>
      <c r="B6" s="14">
        <v>16</v>
      </c>
      <c r="C6" s="14">
        <v>14</v>
      </c>
      <c r="D6" s="14">
        <v>37</v>
      </c>
      <c r="E6" s="14">
        <v>2</v>
      </c>
      <c r="F6" s="14">
        <v>69</v>
      </c>
    </row>
    <row r="7" spans="1:6">
      <c r="A7" s="13" t="s">
        <v>57</v>
      </c>
      <c r="B7" s="14">
        <v>11</v>
      </c>
      <c r="C7" s="14">
        <v>13</v>
      </c>
      <c r="D7" s="14">
        <v>31</v>
      </c>
      <c r="E7" s="14">
        <v>7</v>
      </c>
      <c r="F7" s="14">
        <v>62</v>
      </c>
    </row>
    <row r="8" spans="1:6">
      <c r="A8" s="13" t="s">
        <v>66</v>
      </c>
      <c r="B8" s="14">
        <v>14</v>
      </c>
      <c r="C8" s="14">
        <v>10</v>
      </c>
      <c r="D8" s="14">
        <v>22</v>
      </c>
      <c r="E8" s="14">
        <v>3</v>
      </c>
      <c r="F8" s="14">
        <v>49</v>
      </c>
    </row>
    <row r="9" spans="1:6">
      <c r="A9" s="13" t="s">
        <v>345</v>
      </c>
      <c r="B9" s="14">
        <v>54</v>
      </c>
      <c r="C9" s="14">
        <v>49</v>
      </c>
      <c r="D9" s="14">
        <v>123</v>
      </c>
      <c r="E9" s="14">
        <v>14</v>
      </c>
      <c r="F9" s="14">
        <v>240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86701-48DF-4703-84AB-C2653B8A69A1}">
  <dimension ref="A3:H36"/>
  <sheetViews>
    <sheetView zoomScale="79" zoomScaleNormal="79" workbookViewId="0">
      <selection activeCell="N24" sqref="N24"/>
    </sheetView>
  </sheetViews>
  <sheetFormatPr defaultRowHeight="13.8"/>
  <cols>
    <col min="1" max="1" width="17.296875" bestFit="1" customWidth="1"/>
    <col min="2" max="2" width="16.796875" bestFit="1" customWidth="1"/>
    <col min="3" max="3" width="7.296875" bestFit="1" customWidth="1"/>
    <col min="4" max="4" width="11.5" bestFit="1" customWidth="1"/>
    <col min="5" max="5" width="7.09765625" bestFit="1" customWidth="1"/>
    <col min="6" max="6" width="11.5" bestFit="1" customWidth="1"/>
  </cols>
  <sheetData>
    <row r="3" spans="1:4">
      <c r="A3" s="12" t="s">
        <v>346</v>
      </c>
      <c r="B3" s="12" t="s">
        <v>347</v>
      </c>
    </row>
    <row r="4" spans="1:4">
      <c r="A4" s="12" t="s">
        <v>344</v>
      </c>
      <c r="B4" t="s">
        <v>69</v>
      </c>
      <c r="C4" t="s">
        <v>61</v>
      </c>
      <c r="D4" t="s">
        <v>345</v>
      </c>
    </row>
    <row r="5" spans="1:4">
      <c r="A5" s="13" t="s">
        <v>74</v>
      </c>
      <c r="B5" s="16">
        <v>0.68333333333333335</v>
      </c>
      <c r="C5" s="16">
        <v>0.31666666666666665</v>
      </c>
      <c r="D5" s="16">
        <v>1</v>
      </c>
    </row>
    <row r="6" spans="1:4">
      <c r="A6" s="13" t="s">
        <v>78</v>
      </c>
      <c r="B6" s="16">
        <v>0.66666666666666663</v>
      </c>
      <c r="C6" s="16">
        <v>0.33333333333333331</v>
      </c>
      <c r="D6" s="16">
        <v>1</v>
      </c>
    </row>
    <row r="7" spans="1:4">
      <c r="A7" s="13" t="s">
        <v>57</v>
      </c>
      <c r="B7" s="16">
        <v>0.66129032258064513</v>
      </c>
      <c r="C7" s="16">
        <v>0.33870967741935482</v>
      </c>
      <c r="D7" s="16">
        <v>1</v>
      </c>
    </row>
    <row r="8" spans="1:4">
      <c r="A8" s="13" t="s">
        <v>66</v>
      </c>
      <c r="B8" s="16">
        <v>0.46938775510204084</v>
      </c>
      <c r="C8" s="16">
        <v>0.53061224489795922</v>
      </c>
      <c r="D8" s="16">
        <v>1</v>
      </c>
    </row>
    <row r="9" spans="1:4">
      <c r="A9" s="13" t="s">
        <v>345</v>
      </c>
      <c r="B9" s="16">
        <v>0.62916666666666665</v>
      </c>
      <c r="C9" s="16">
        <v>0.37083333333333335</v>
      </c>
      <c r="D9" s="16">
        <v>1</v>
      </c>
    </row>
    <row r="26" spans="1:8" ht="17.399999999999999">
      <c r="A26" s="15" t="s">
        <v>348</v>
      </c>
    </row>
    <row r="28" spans="1:8">
      <c r="A28" s="17" t="s">
        <v>349</v>
      </c>
      <c r="B28" s="17"/>
      <c r="C28" s="17"/>
      <c r="D28" s="17"/>
      <c r="E28" s="17"/>
      <c r="F28" s="17"/>
    </row>
    <row r="30" spans="1:8">
      <c r="A30" s="17" t="s">
        <v>350</v>
      </c>
      <c r="B30" s="17"/>
      <c r="C30" s="17"/>
      <c r="D30" s="17"/>
      <c r="E30" s="17"/>
      <c r="F30" s="17"/>
      <c r="G30" s="17"/>
      <c r="H30" s="17"/>
    </row>
    <row r="32" spans="1:8">
      <c r="A32" t="s">
        <v>351</v>
      </c>
    </row>
    <row r="34" spans="1:1">
      <c r="A34" t="s">
        <v>352</v>
      </c>
    </row>
    <row r="36" spans="1:1">
      <c r="A36" t="s">
        <v>353</v>
      </c>
    </row>
  </sheetData>
  <mergeCells count="2">
    <mergeCell ref="A28:F28"/>
    <mergeCell ref="A30:H3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1E808-A688-4AF1-81F8-3908BB693A9E}">
  <dimension ref="A3:F6"/>
  <sheetViews>
    <sheetView topLeftCell="C1" zoomScale="69" zoomScaleNormal="69" workbookViewId="0">
      <selection activeCell="D25" sqref="D25"/>
    </sheetView>
  </sheetViews>
  <sheetFormatPr defaultRowHeight="13.8"/>
  <cols>
    <col min="1" max="4" width="36.796875" bestFit="1" customWidth="1"/>
    <col min="5" max="5" width="22.8984375" bestFit="1" customWidth="1"/>
    <col min="6" max="6" width="42.09765625" bestFit="1" customWidth="1"/>
  </cols>
  <sheetData>
    <row r="3" spans="1:6">
      <c r="A3" s="12" t="s">
        <v>347</v>
      </c>
    </row>
    <row r="4" spans="1:6">
      <c r="A4" t="s">
        <v>69</v>
      </c>
      <c r="C4" t="s">
        <v>61</v>
      </c>
      <c r="E4" t="s">
        <v>358</v>
      </c>
      <c r="F4" t="s">
        <v>359</v>
      </c>
    </row>
    <row r="5" spans="1:6">
      <c r="A5" t="s">
        <v>346</v>
      </c>
      <c r="B5" t="s">
        <v>360</v>
      </c>
      <c r="C5" t="s">
        <v>346</v>
      </c>
      <c r="D5" t="s">
        <v>360</v>
      </c>
    </row>
    <row r="6" spans="1:6">
      <c r="A6" s="14">
        <v>151</v>
      </c>
      <c r="B6" s="14">
        <v>3.9602649006622515</v>
      </c>
      <c r="C6" s="14">
        <v>89</v>
      </c>
      <c r="D6" s="14">
        <v>3.101123595505618</v>
      </c>
      <c r="E6" s="14">
        <v>240</v>
      </c>
      <c r="F6" s="7">
        <v>3.6416666666666666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41"/>
  <sheetViews>
    <sheetView workbookViewId="0">
      <pane ySplit="1" topLeftCell="A2" activePane="bottomLeft" state="frozen"/>
      <selection pane="bottomLeft" activeCell="D7" sqref="D7"/>
    </sheetView>
  </sheetViews>
  <sheetFormatPr defaultRowHeight="13.8"/>
  <cols>
    <col min="1" max="1" width="14" customWidth="1"/>
    <col min="2" max="3" width="16" customWidth="1"/>
    <col min="4" max="5" width="17" customWidth="1"/>
    <col min="6" max="9" width="20" customWidth="1"/>
    <col min="10" max="11" width="18" customWidth="1"/>
    <col min="12" max="12" width="14" customWidth="1"/>
    <col min="13" max="13" width="25" customWidth="1"/>
    <col min="14" max="15" width="17" customWidth="1"/>
  </cols>
  <sheetData>
    <row r="1" spans="1:15" ht="31.05" customHeight="1">
      <c r="A1" s="3" t="s">
        <v>38</v>
      </c>
      <c r="B1" s="3" t="s">
        <v>39</v>
      </c>
      <c r="C1" s="3" t="s">
        <v>40</v>
      </c>
      <c r="D1" s="3" t="s">
        <v>41</v>
      </c>
      <c r="E1" s="3" t="s">
        <v>42</v>
      </c>
      <c r="F1" s="3" t="s">
        <v>43</v>
      </c>
      <c r="G1" s="3" t="s">
        <v>44</v>
      </c>
      <c r="H1" s="3" t="s">
        <v>45</v>
      </c>
      <c r="I1" s="3" t="s">
        <v>46</v>
      </c>
      <c r="J1" s="3" t="s">
        <v>47</v>
      </c>
      <c r="K1" s="3" t="s">
        <v>48</v>
      </c>
      <c r="L1" s="3" t="s">
        <v>49</v>
      </c>
      <c r="M1" s="3" t="s">
        <v>50</v>
      </c>
      <c r="N1" s="3" t="s">
        <v>51</v>
      </c>
      <c r="O1" s="3" t="s">
        <v>52</v>
      </c>
    </row>
    <row r="2" spans="1:15">
      <c r="A2" t="s">
        <v>53</v>
      </c>
      <c r="B2" s="1">
        <v>46094</v>
      </c>
      <c r="C2" t="s">
        <v>54</v>
      </c>
      <c r="D2" t="s">
        <v>55</v>
      </c>
      <c r="E2" t="s">
        <v>56</v>
      </c>
      <c r="F2" t="s">
        <v>57</v>
      </c>
      <c r="G2" t="s">
        <v>58</v>
      </c>
      <c r="H2" t="s">
        <v>59</v>
      </c>
      <c r="I2" t="s">
        <v>60</v>
      </c>
      <c r="J2" s="2">
        <v>68.599999999999994</v>
      </c>
      <c r="K2" s="2">
        <v>48</v>
      </c>
      <c r="L2" t="s">
        <v>61</v>
      </c>
      <c r="M2">
        <v>3</v>
      </c>
      <c r="N2">
        <v>1</v>
      </c>
      <c r="O2">
        <v>0</v>
      </c>
    </row>
    <row r="3" spans="1:15">
      <c r="A3" t="s">
        <v>62</v>
      </c>
      <c r="B3" s="1">
        <v>46156</v>
      </c>
      <c r="C3" t="s">
        <v>63</v>
      </c>
      <c r="D3" t="s">
        <v>64</v>
      </c>
      <c r="E3" t="s">
        <v>65</v>
      </c>
      <c r="F3" t="s">
        <v>66</v>
      </c>
      <c r="G3" t="s">
        <v>67</v>
      </c>
      <c r="H3" t="s">
        <v>59</v>
      </c>
      <c r="I3" t="s">
        <v>68</v>
      </c>
      <c r="J3" s="2">
        <v>31.1</v>
      </c>
      <c r="K3" s="2">
        <v>48</v>
      </c>
      <c r="L3" t="s">
        <v>69</v>
      </c>
      <c r="M3">
        <v>4</v>
      </c>
      <c r="N3">
        <v>1</v>
      </c>
      <c r="O3">
        <v>1</v>
      </c>
    </row>
    <row r="4" spans="1:15">
      <c r="A4" t="s">
        <v>70</v>
      </c>
      <c r="B4" s="1">
        <v>46070</v>
      </c>
      <c r="C4" t="s">
        <v>71</v>
      </c>
      <c r="D4" t="s">
        <v>72</v>
      </c>
      <c r="E4" t="s">
        <v>73</v>
      </c>
      <c r="F4" t="s">
        <v>74</v>
      </c>
      <c r="G4" t="s">
        <v>75</v>
      </c>
      <c r="H4" t="s">
        <v>59</v>
      </c>
      <c r="I4" t="s">
        <v>76</v>
      </c>
      <c r="J4" s="2">
        <v>43.8</v>
      </c>
      <c r="K4" s="2">
        <v>48</v>
      </c>
      <c r="L4" t="s">
        <v>69</v>
      </c>
      <c r="M4">
        <v>5</v>
      </c>
      <c r="N4">
        <v>1</v>
      </c>
      <c r="O4">
        <v>1</v>
      </c>
    </row>
    <row r="5" spans="1:15">
      <c r="A5" t="s">
        <v>77</v>
      </c>
      <c r="B5" s="1">
        <v>46106</v>
      </c>
      <c r="C5" t="s">
        <v>54</v>
      </c>
      <c r="D5" t="s">
        <v>72</v>
      </c>
      <c r="E5" t="s">
        <v>73</v>
      </c>
      <c r="F5" t="s">
        <v>78</v>
      </c>
      <c r="G5" t="s">
        <v>79</v>
      </c>
      <c r="H5" t="s">
        <v>59</v>
      </c>
      <c r="I5" t="s">
        <v>80</v>
      </c>
      <c r="J5" s="2">
        <v>25.5</v>
      </c>
      <c r="K5" s="2">
        <v>48</v>
      </c>
      <c r="L5" t="s">
        <v>69</v>
      </c>
      <c r="M5">
        <v>4</v>
      </c>
      <c r="N5">
        <v>1</v>
      </c>
      <c r="O5">
        <v>1</v>
      </c>
    </row>
    <row r="6" spans="1:15">
      <c r="A6" t="s">
        <v>81</v>
      </c>
      <c r="B6" s="1">
        <v>46120</v>
      </c>
      <c r="C6" t="s">
        <v>82</v>
      </c>
      <c r="D6" t="s">
        <v>72</v>
      </c>
      <c r="E6" t="s">
        <v>73</v>
      </c>
      <c r="F6" t="s">
        <v>66</v>
      </c>
      <c r="G6" t="s">
        <v>75</v>
      </c>
      <c r="H6" t="s">
        <v>59</v>
      </c>
      <c r="I6" t="s">
        <v>83</v>
      </c>
      <c r="J6" s="2">
        <v>61.6</v>
      </c>
      <c r="K6" s="2">
        <v>48</v>
      </c>
      <c r="L6" t="s">
        <v>61</v>
      </c>
      <c r="M6">
        <v>2</v>
      </c>
      <c r="N6">
        <v>1</v>
      </c>
      <c r="O6">
        <v>0</v>
      </c>
    </row>
    <row r="7" spans="1:15">
      <c r="A7" t="s">
        <v>84</v>
      </c>
      <c r="B7" s="1">
        <v>46041</v>
      </c>
      <c r="C7" t="s">
        <v>85</v>
      </c>
      <c r="D7" t="s">
        <v>72</v>
      </c>
      <c r="E7" t="s">
        <v>73</v>
      </c>
      <c r="F7" t="s">
        <v>66</v>
      </c>
      <c r="G7" t="s">
        <v>79</v>
      </c>
      <c r="H7" t="s">
        <v>86</v>
      </c>
      <c r="I7" t="s">
        <v>87</v>
      </c>
      <c r="J7" s="2">
        <v>35.9</v>
      </c>
      <c r="K7" s="2">
        <v>24</v>
      </c>
      <c r="L7" t="s">
        <v>61</v>
      </c>
      <c r="M7">
        <v>2</v>
      </c>
      <c r="N7">
        <v>1</v>
      </c>
      <c r="O7">
        <v>0</v>
      </c>
    </row>
    <row r="8" spans="1:15">
      <c r="A8" t="s">
        <v>88</v>
      </c>
      <c r="B8" s="1">
        <v>46032</v>
      </c>
      <c r="C8" t="s">
        <v>85</v>
      </c>
      <c r="D8" t="s">
        <v>89</v>
      </c>
      <c r="E8" t="s">
        <v>90</v>
      </c>
      <c r="F8" t="s">
        <v>74</v>
      </c>
      <c r="G8" t="s">
        <v>58</v>
      </c>
      <c r="H8" t="s">
        <v>59</v>
      </c>
      <c r="I8" t="s">
        <v>80</v>
      </c>
      <c r="J8" s="2">
        <v>75.7</v>
      </c>
      <c r="K8" s="2">
        <v>48</v>
      </c>
      <c r="L8" t="s">
        <v>61</v>
      </c>
      <c r="M8">
        <v>4</v>
      </c>
      <c r="N8">
        <v>1</v>
      </c>
      <c r="O8">
        <v>0</v>
      </c>
    </row>
    <row r="9" spans="1:15">
      <c r="A9" t="s">
        <v>91</v>
      </c>
      <c r="B9" s="1">
        <v>46043</v>
      </c>
      <c r="C9" t="s">
        <v>85</v>
      </c>
      <c r="D9" t="s">
        <v>72</v>
      </c>
      <c r="E9" t="s">
        <v>73</v>
      </c>
      <c r="F9" t="s">
        <v>57</v>
      </c>
      <c r="G9" t="s">
        <v>75</v>
      </c>
      <c r="H9" t="s">
        <v>92</v>
      </c>
      <c r="I9" t="s">
        <v>83</v>
      </c>
      <c r="J9" s="2">
        <v>57.1</v>
      </c>
      <c r="K9" s="2">
        <v>72</v>
      </c>
      <c r="L9" t="s">
        <v>69</v>
      </c>
      <c r="M9">
        <v>5</v>
      </c>
      <c r="N9">
        <v>1</v>
      </c>
      <c r="O9">
        <v>1</v>
      </c>
    </row>
    <row r="10" spans="1:15">
      <c r="A10" t="s">
        <v>93</v>
      </c>
      <c r="B10" s="1">
        <v>46055</v>
      </c>
      <c r="C10" t="s">
        <v>71</v>
      </c>
      <c r="D10" t="s">
        <v>94</v>
      </c>
      <c r="E10" t="s">
        <v>56</v>
      </c>
      <c r="F10" t="s">
        <v>78</v>
      </c>
      <c r="G10" t="s">
        <v>75</v>
      </c>
      <c r="H10" t="s">
        <v>59</v>
      </c>
      <c r="I10" t="s">
        <v>76</v>
      </c>
      <c r="J10" s="2">
        <v>50.3</v>
      </c>
      <c r="K10" s="2">
        <v>48</v>
      </c>
      <c r="L10" t="s">
        <v>61</v>
      </c>
      <c r="M10">
        <v>4</v>
      </c>
      <c r="N10">
        <v>1</v>
      </c>
      <c r="O10">
        <v>0</v>
      </c>
    </row>
    <row r="11" spans="1:15">
      <c r="A11" t="s">
        <v>95</v>
      </c>
      <c r="B11" s="1">
        <v>46073</v>
      </c>
      <c r="C11" t="s">
        <v>71</v>
      </c>
      <c r="D11" t="s">
        <v>96</v>
      </c>
      <c r="E11" t="s">
        <v>97</v>
      </c>
      <c r="F11" t="s">
        <v>66</v>
      </c>
      <c r="G11" t="s">
        <v>58</v>
      </c>
      <c r="H11" t="s">
        <v>92</v>
      </c>
      <c r="I11" t="s">
        <v>68</v>
      </c>
      <c r="J11" s="2">
        <v>63.9</v>
      </c>
      <c r="K11" s="2">
        <v>72</v>
      </c>
      <c r="L11" t="s">
        <v>69</v>
      </c>
      <c r="M11">
        <v>2</v>
      </c>
      <c r="N11">
        <v>1</v>
      </c>
      <c r="O11">
        <v>1</v>
      </c>
    </row>
    <row r="12" spans="1:15">
      <c r="A12" t="s">
        <v>98</v>
      </c>
      <c r="B12" s="1">
        <v>46138</v>
      </c>
      <c r="C12" t="s">
        <v>82</v>
      </c>
      <c r="D12" t="s">
        <v>99</v>
      </c>
      <c r="E12" t="s">
        <v>100</v>
      </c>
      <c r="F12" t="s">
        <v>78</v>
      </c>
      <c r="G12" t="s">
        <v>79</v>
      </c>
      <c r="H12" t="s">
        <v>92</v>
      </c>
      <c r="I12" t="s">
        <v>60</v>
      </c>
      <c r="J12" s="2">
        <v>100.1</v>
      </c>
      <c r="K12" s="2">
        <v>72</v>
      </c>
      <c r="L12" t="s">
        <v>61</v>
      </c>
      <c r="M12">
        <v>2</v>
      </c>
      <c r="N12">
        <v>1</v>
      </c>
      <c r="O12">
        <v>0</v>
      </c>
    </row>
    <row r="13" spans="1:15">
      <c r="A13" t="s">
        <v>101</v>
      </c>
      <c r="B13" s="1">
        <v>46159</v>
      </c>
      <c r="C13" t="s">
        <v>63</v>
      </c>
      <c r="D13" t="s">
        <v>55</v>
      </c>
      <c r="E13" t="s">
        <v>56</v>
      </c>
      <c r="F13" t="s">
        <v>78</v>
      </c>
      <c r="G13" t="s">
        <v>58</v>
      </c>
      <c r="H13" t="s">
        <v>59</v>
      </c>
      <c r="I13" t="s">
        <v>60</v>
      </c>
      <c r="J13" s="2">
        <v>1.8</v>
      </c>
      <c r="K13" s="2">
        <v>48</v>
      </c>
      <c r="L13" t="s">
        <v>69</v>
      </c>
      <c r="M13">
        <v>5</v>
      </c>
      <c r="N13">
        <v>1</v>
      </c>
      <c r="O13">
        <v>1</v>
      </c>
    </row>
    <row r="14" spans="1:15">
      <c r="A14" t="s">
        <v>102</v>
      </c>
      <c r="B14" s="1">
        <v>46136</v>
      </c>
      <c r="C14" t="s">
        <v>82</v>
      </c>
      <c r="D14" t="s">
        <v>96</v>
      </c>
      <c r="E14" t="s">
        <v>97</v>
      </c>
      <c r="F14" t="s">
        <v>74</v>
      </c>
      <c r="G14" t="s">
        <v>75</v>
      </c>
      <c r="H14" t="s">
        <v>59</v>
      </c>
      <c r="I14" t="s">
        <v>80</v>
      </c>
      <c r="J14" s="2">
        <v>28.7</v>
      </c>
      <c r="K14" s="2">
        <v>48</v>
      </c>
      <c r="L14" t="s">
        <v>69</v>
      </c>
      <c r="M14">
        <v>4</v>
      </c>
      <c r="N14">
        <v>1</v>
      </c>
      <c r="O14">
        <v>1</v>
      </c>
    </row>
    <row r="15" spans="1:15">
      <c r="A15" t="s">
        <v>103</v>
      </c>
      <c r="B15" s="1">
        <v>46200</v>
      </c>
      <c r="C15" t="s">
        <v>104</v>
      </c>
      <c r="D15" t="s">
        <v>96</v>
      </c>
      <c r="E15" t="s">
        <v>97</v>
      </c>
      <c r="F15" t="s">
        <v>74</v>
      </c>
      <c r="G15" t="s">
        <v>75</v>
      </c>
      <c r="H15" t="s">
        <v>59</v>
      </c>
      <c r="I15" t="s">
        <v>80</v>
      </c>
      <c r="J15" s="2">
        <v>51.3</v>
      </c>
      <c r="K15" s="2">
        <v>48</v>
      </c>
      <c r="L15" t="s">
        <v>61</v>
      </c>
      <c r="M15">
        <v>1</v>
      </c>
      <c r="N15">
        <v>1</v>
      </c>
      <c r="O15">
        <v>0</v>
      </c>
    </row>
    <row r="16" spans="1:15">
      <c r="A16" t="s">
        <v>105</v>
      </c>
      <c r="B16" s="1">
        <v>46200</v>
      </c>
      <c r="C16" t="s">
        <v>104</v>
      </c>
      <c r="D16" t="s">
        <v>106</v>
      </c>
      <c r="E16" t="s">
        <v>107</v>
      </c>
      <c r="F16" t="s">
        <v>66</v>
      </c>
      <c r="G16" t="s">
        <v>75</v>
      </c>
      <c r="H16" t="s">
        <v>92</v>
      </c>
      <c r="I16" t="s">
        <v>76</v>
      </c>
      <c r="J16" s="2">
        <v>52.6</v>
      </c>
      <c r="K16" s="2">
        <v>72</v>
      </c>
      <c r="L16" t="s">
        <v>69</v>
      </c>
      <c r="M16">
        <v>5</v>
      </c>
      <c r="N16">
        <v>1</v>
      </c>
      <c r="O16">
        <v>1</v>
      </c>
    </row>
    <row r="17" spans="1:15">
      <c r="A17" t="s">
        <v>108</v>
      </c>
      <c r="B17" s="1">
        <v>46173</v>
      </c>
      <c r="C17" t="s">
        <v>63</v>
      </c>
      <c r="D17" t="s">
        <v>55</v>
      </c>
      <c r="E17" t="s">
        <v>56</v>
      </c>
      <c r="F17" t="s">
        <v>78</v>
      </c>
      <c r="G17" t="s">
        <v>79</v>
      </c>
      <c r="H17" t="s">
        <v>86</v>
      </c>
      <c r="I17" t="s">
        <v>109</v>
      </c>
      <c r="J17" s="2">
        <v>21.5</v>
      </c>
      <c r="K17" s="2">
        <v>24</v>
      </c>
      <c r="L17" t="s">
        <v>69</v>
      </c>
      <c r="M17">
        <v>4</v>
      </c>
      <c r="N17">
        <v>1</v>
      </c>
      <c r="O17">
        <v>1</v>
      </c>
    </row>
    <row r="18" spans="1:15">
      <c r="A18" t="s">
        <v>110</v>
      </c>
      <c r="B18" s="1">
        <v>46138</v>
      </c>
      <c r="C18" t="s">
        <v>82</v>
      </c>
      <c r="D18" t="s">
        <v>99</v>
      </c>
      <c r="E18" t="s">
        <v>100</v>
      </c>
      <c r="F18" t="s">
        <v>78</v>
      </c>
      <c r="G18" t="s">
        <v>58</v>
      </c>
      <c r="H18" t="s">
        <v>86</v>
      </c>
      <c r="I18" t="s">
        <v>111</v>
      </c>
      <c r="J18" s="2">
        <v>24.5</v>
      </c>
      <c r="K18" s="2">
        <v>24</v>
      </c>
      <c r="L18" t="s">
        <v>61</v>
      </c>
      <c r="M18">
        <v>2</v>
      </c>
      <c r="N18">
        <v>1</v>
      </c>
      <c r="O18">
        <v>0</v>
      </c>
    </row>
    <row r="19" spans="1:15">
      <c r="A19" t="s">
        <v>112</v>
      </c>
      <c r="B19" s="1">
        <v>46170</v>
      </c>
      <c r="C19" t="s">
        <v>63</v>
      </c>
      <c r="D19" t="s">
        <v>106</v>
      </c>
      <c r="E19" t="s">
        <v>107</v>
      </c>
      <c r="F19" t="s">
        <v>57</v>
      </c>
      <c r="G19" t="s">
        <v>79</v>
      </c>
      <c r="H19" t="s">
        <v>59</v>
      </c>
      <c r="I19" t="s">
        <v>87</v>
      </c>
      <c r="J19" s="2">
        <v>27.9</v>
      </c>
      <c r="K19" s="2">
        <v>48</v>
      </c>
      <c r="L19" t="s">
        <v>69</v>
      </c>
      <c r="M19">
        <v>4</v>
      </c>
      <c r="N19">
        <v>1</v>
      </c>
      <c r="O19">
        <v>1</v>
      </c>
    </row>
    <row r="20" spans="1:15">
      <c r="A20" t="s">
        <v>113</v>
      </c>
      <c r="B20" s="1">
        <v>46140</v>
      </c>
      <c r="C20" t="s">
        <v>82</v>
      </c>
      <c r="D20" t="s">
        <v>99</v>
      </c>
      <c r="E20" t="s">
        <v>100</v>
      </c>
      <c r="F20" t="s">
        <v>74</v>
      </c>
      <c r="G20" t="s">
        <v>79</v>
      </c>
      <c r="H20" t="s">
        <v>59</v>
      </c>
      <c r="I20" t="s">
        <v>68</v>
      </c>
      <c r="J20" s="2">
        <v>36.700000000000003</v>
      </c>
      <c r="K20" s="2">
        <v>48</v>
      </c>
      <c r="L20" t="s">
        <v>69</v>
      </c>
      <c r="M20">
        <v>4</v>
      </c>
      <c r="N20">
        <v>1</v>
      </c>
      <c r="O20">
        <v>1</v>
      </c>
    </row>
    <row r="21" spans="1:15">
      <c r="A21" t="s">
        <v>114</v>
      </c>
      <c r="B21" s="1">
        <v>46152</v>
      </c>
      <c r="C21" t="s">
        <v>63</v>
      </c>
      <c r="D21" t="s">
        <v>64</v>
      </c>
      <c r="E21" t="s">
        <v>65</v>
      </c>
      <c r="F21" t="s">
        <v>57</v>
      </c>
      <c r="G21" t="s">
        <v>75</v>
      </c>
      <c r="H21" t="s">
        <v>59</v>
      </c>
      <c r="I21" t="s">
        <v>115</v>
      </c>
      <c r="J21" s="2">
        <v>22.7</v>
      </c>
      <c r="K21" s="2">
        <v>48</v>
      </c>
      <c r="L21" t="s">
        <v>69</v>
      </c>
      <c r="M21">
        <v>2</v>
      </c>
      <c r="N21">
        <v>1</v>
      </c>
      <c r="O21">
        <v>1</v>
      </c>
    </row>
    <row r="22" spans="1:15">
      <c r="A22" t="s">
        <v>116</v>
      </c>
      <c r="B22" s="1">
        <v>46156</v>
      </c>
      <c r="C22" t="s">
        <v>63</v>
      </c>
      <c r="D22" t="s">
        <v>96</v>
      </c>
      <c r="E22" t="s">
        <v>97</v>
      </c>
      <c r="F22" t="s">
        <v>74</v>
      </c>
      <c r="G22" t="s">
        <v>79</v>
      </c>
      <c r="H22" t="s">
        <v>59</v>
      </c>
      <c r="I22" t="s">
        <v>115</v>
      </c>
      <c r="J22" s="2">
        <v>61.5</v>
      </c>
      <c r="K22" s="2">
        <v>48</v>
      </c>
      <c r="L22" t="s">
        <v>61</v>
      </c>
      <c r="M22">
        <v>3</v>
      </c>
      <c r="N22">
        <v>1</v>
      </c>
      <c r="O22">
        <v>0</v>
      </c>
    </row>
    <row r="23" spans="1:15">
      <c r="A23" t="s">
        <v>117</v>
      </c>
      <c r="B23" s="1">
        <v>46119</v>
      </c>
      <c r="C23" t="s">
        <v>82</v>
      </c>
      <c r="D23" t="s">
        <v>96</v>
      </c>
      <c r="E23" t="s">
        <v>97</v>
      </c>
      <c r="F23" t="s">
        <v>74</v>
      </c>
      <c r="G23" t="s">
        <v>58</v>
      </c>
      <c r="H23" t="s">
        <v>86</v>
      </c>
      <c r="I23" t="s">
        <v>109</v>
      </c>
      <c r="J23" s="2">
        <v>6.1</v>
      </c>
      <c r="K23" s="2">
        <v>24</v>
      </c>
      <c r="L23" t="s">
        <v>69</v>
      </c>
      <c r="M23">
        <v>5</v>
      </c>
      <c r="N23">
        <v>1</v>
      </c>
      <c r="O23">
        <v>1</v>
      </c>
    </row>
    <row r="24" spans="1:15">
      <c r="A24" t="s">
        <v>118</v>
      </c>
      <c r="B24" s="1">
        <v>46153</v>
      </c>
      <c r="C24" t="s">
        <v>63</v>
      </c>
      <c r="D24" t="s">
        <v>94</v>
      </c>
      <c r="E24" t="s">
        <v>56</v>
      </c>
      <c r="F24" t="s">
        <v>78</v>
      </c>
      <c r="G24" t="s">
        <v>75</v>
      </c>
      <c r="H24" t="s">
        <v>59</v>
      </c>
      <c r="I24" t="s">
        <v>119</v>
      </c>
      <c r="J24" s="2">
        <v>27</v>
      </c>
      <c r="K24" s="2">
        <v>48</v>
      </c>
      <c r="L24" t="s">
        <v>69</v>
      </c>
      <c r="M24">
        <v>4</v>
      </c>
      <c r="N24">
        <v>1</v>
      </c>
      <c r="O24">
        <v>1</v>
      </c>
    </row>
    <row r="25" spans="1:15">
      <c r="A25" t="s">
        <v>120</v>
      </c>
      <c r="B25" s="1">
        <v>46141</v>
      </c>
      <c r="C25" t="s">
        <v>82</v>
      </c>
      <c r="D25" t="s">
        <v>96</v>
      </c>
      <c r="E25" t="s">
        <v>97</v>
      </c>
      <c r="F25" t="s">
        <v>57</v>
      </c>
      <c r="G25" t="s">
        <v>75</v>
      </c>
      <c r="H25" t="s">
        <v>121</v>
      </c>
      <c r="I25" t="s">
        <v>87</v>
      </c>
      <c r="J25" s="2">
        <v>5.7</v>
      </c>
      <c r="K25" s="2">
        <v>8</v>
      </c>
      <c r="L25" t="s">
        <v>69</v>
      </c>
      <c r="M25">
        <v>4</v>
      </c>
      <c r="N25">
        <v>1</v>
      </c>
      <c r="O25">
        <v>1</v>
      </c>
    </row>
    <row r="26" spans="1:15">
      <c r="A26" t="s">
        <v>122</v>
      </c>
      <c r="B26" s="1">
        <v>46067</v>
      </c>
      <c r="C26" t="s">
        <v>71</v>
      </c>
      <c r="D26" t="s">
        <v>99</v>
      </c>
      <c r="E26" t="s">
        <v>100</v>
      </c>
      <c r="F26" t="s">
        <v>66</v>
      </c>
      <c r="G26" t="s">
        <v>58</v>
      </c>
      <c r="H26" t="s">
        <v>92</v>
      </c>
      <c r="I26" t="s">
        <v>80</v>
      </c>
      <c r="J26" s="2">
        <v>69.7</v>
      </c>
      <c r="K26" s="2">
        <v>72</v>
      </c>
      <c r="L26" t="s">
        <v>69</v>
      </c>
      <c r="M26">
        <v>4</v>
      </c>
      <c r="N26">
        <v>1</v>
      </c>
      <c r="O26">
        <v>1</v>
      </c>
    </row>
    <row r="27" spans="1:15">
      <c r="A27" t="s">
        <v>123</v>
      </c>
      <c r="B27" s="1">
        <v>46189</v>
      </c>
      <c r="C27" t="s">
        <v>104</v>
      </c>
      <c r="D27" t="s">
        <v>106</v>
      </c>
      <c r="E27" t="s">
        <v>107</v>
      </c>
      <c r="F27" t="s">
        <v>66</v>
      </c>
      <c r="G27" t="s">
        <v>75</v>
      </c>
      <c r="H27" t="s">
        <v>86</v>
      </c>
      <c r="I27" t="s">
        <v>109</v>
      </c>
      <c r="J27" s="2">
        <v>26.1</v>
      </c>
      <c r="K27" s="2">
        <v>24</v>
      </c>
      <c r="L27" t="s">
        <v>61</v>
      </c>
      <c r="M27">
        <v>4</v>
      </c>
      <c r="N27">
        <v>1</v>
      </c>
      <c r="O27">
        <v>0</v>
      </c>
    </row>
    <row r="28" spans="1:15">
      <c r="A28" t="s">
        <v>124</v>
      </c>
      <c r="B28" s="1">
        <v>46067</v>
      </c>
      <c r="C28" t="s">
        <v>71</v>
      </c>
      <c r="D28" t="s">
        <v>99</v>
      </c>
      <c r="E28" t="s">
        <v>100</v>
      </c>
      <c r="F28" t="s">
        <v>57</v>
      </c>
      <c r="G28" t="s">
        <v>79</v>
      </c>
      <c r="H28" t="s">
        <v>59</v>
      </c>
      <c r="I28" t="s">
        <v>83</v>
      </c>
      <c r="J28" s="2">
        <v>34.200000000000003</v>
      </c>
      <c r="K28" s="2">
        <v>48</v>
      </c>
      <c r="L28" t="s">
        <v>69</v>
      </c>
      <c r="M28">
        <v>5</v>
      </c>
      <c r="N28">
        <v>1</v>
      </c>
      <c r="O28">
        <v>1</v>
      </c>
    </row>
    <row r="29" spans="1:15">
      <c r="A29" t="s">
        <v>125</v>
      </c>
      <c r="B29" s="1">
        <v>46132</v>
      </c>
      <c r="C29" t="s">
        <v>82</v>
      </c>
      <c r="D29" t="s">
        <v>64</v>
      </c>
      <c r="E29" t="s">
        <v>65</v>
      </c>
      <c r="F29" t="s">
        <v>78</v>
      </c>
      <c r="G29" t="s">
        <v>67</v>
      </c>
      <c r="H29" t="s">
        <v>59</v>
      </c>
      <c r="I29" t="s">
        <v>111</v>
      </c>
      <c r="J29" s="2">
        <v>30.3</v>
      </c>
      <c r="K29" s="2">
        <v>48</v>
      </c>
      <c r="L29" t="s">
        <v>69</v>
      </c>
      <c r="M29">
        <v>4</v>
      </c>
      <c r="N29">
        <v>1</v>
      </c>
      <c r="O29">
        <v>1</v>
      </c>
    </row>
    <row r="30" spans="1:15">
      <c r="A30" t="s">
        <v>126</v>
      </c>
      <c r="B30" s="1">
        <v>46146</v>
      </c>
      <c r="C30" t="s">
        <v>63</v>
      </c>
      <c r="D30" t="s">
        <v>55</v>
      </c>
      <c r="E30" t="s">
        <v>56</v>
      </c>
      <c r="F30" t="s">
        <v>57</v>
      </c>
      <c r="G30" t="s">
        <v>75</v>
      </c>
      <c r="H30" t="s">
        <v>92</v>
      </c>
      <c r="I30" t="s">
        <v>60</v>
      </c>
      <c r="J30" s="2">
        <v>50.6</v>
      </c>
      <c r="K30" s="2">
        <v>72</v>
      </c>
      <c r="L30" t="s">
        <v>69</v>
      </c>
      <c r="M30">
        <v>5</v>
      </c>
      <c r="N30">
        <v>1</v>
      </c>
      <c r="O30">
        <v>1</v>
      </c>
    </row>
    <row r="31" spans="1:15">
      <c r="A31" t="s">
        <v>127</v>
      </c>
      <c r="B31" s="1">
        <v>46084</v>
      </c>
      <c r="C31" t="s">
        <v>54</v>
      </c>
      <c r="D31" t="s">
        <v>55</v>
      </c>
      <c r="E31" t="s">
        <v>56</v>
      </c>
      <c r="F31" t="s">
        <v>66</v>
      </c>
      <c r="G31" t="s">
        <v>79</v>
      </c>
      <c r="H31" t="s">
        <v>59</v>
      </c>
      <c r="I31" t="s">
        <v>60</v>
      </c>
      <c r="J31" s="2">
        <v>68.5</v>
      </c>
      <c r="K31" s="2">
        <v>48</v>
      </c>
      <c r="L31" t="s">
        <v>61</v>
      </c>
      <c r="M31">
        <v>1</v>
      </c>
      <c r="N31">
        <v>1</v>
      </c>
      <c r="O31">
        <v>0</v>
      </c>
    </row>
    <row r="32" spans="1:15">
      <c r="A32" t="s">
        <v>128</v>
      </c>
      <c r="B32" s="1">
        <v>46047</v>
      </c>
      <c r="C32" t="s">
        <v>85</v>
      </c>
      <c r="D32" t="s">
        <v>72</v>
      </c>
      <c r="E32" t="s">
        <v>73</v>
      </c>
      <c r="F32" t="s">
        <v>66</v>
      </c>
      <c r="G32" t="s">
        <v>79</v>
      </c>
      <c r="H32" t="s">
        <v>86</v>
      </c>
      <c r="I32" t="s">
        <v>119</v>
      </c>
      <c r="J32" s="2">
        <v>26.3</v>
      </c>
      <c r="K32" s="2">
        <v>24</v>
      </c>
      <c r="L32" t="s">
        <v>61</v>
      </c>
      <c r="M32">
        <v>3</v>
      </c>
      <c r="N32">
        <v>1</v>
      </c>
      <c r="O32">
        <v>0</v>
      </c>
    </row>
    <row r="33" spans="1:15">
      <c r="A33" t="s">
        <v>129</v>
      </c>
      <c r="B33" s="1">
        <v>46184</v>
      </c>
      <c r="C33" t="s">
        <v>104</v>
      </c>
      <c r="D33" t="s">
        <v>72</v>
      </c>
      <c r="E33" t="s">
        <v>73</v>
      </c>
      <c r="F33" t="s">
        <v>57</v>
      </c>
      <c r="G33" t="s">
        <v>75</v>
      </c>
      <c r="H33" t="s">
        <v>86</v>
      </c>
      <c r="I33" t="s">
        <v>60</v>
      </c>
      <c r="J33" s="2">
        <v>12.5</v>
      </c>
      <c r="K33" s="2">
        <v>24</v>
      </c>
      <c r="L33" t="s">
        <v>69</v>
      </c>
      <c r="M33">
        <v>3</v>
      </c>
      <c r="N33">
        <v>1</v>
      </c>
      <c r="O33">
        <v>1</v>
      </c>
    </row>
    <row r="34" spans="1:15">
      <c r="A34" t="s">
        <v>130</v>
      </c>
      <c r="B34" s="1">
        <v>46093</v>
      </c>
      <c r="C34" t="s">
        <v>54</v>
      </c>
      <c r="D34" t="s">
        <v>96</v>
      </c>
      <c r="E34" t="s">
        <v>97</v>
      </c>
      <c r="F34" t="s">
        <v>78</v>
      </c>
      <c r="G34" t="s">
        <v>58</v>
      </c>
      <c r="H34" t="s">
        <v>86</v>
      </c>
      <c r="I34" t="s">
        <v>87</v>
      </c>
      <c r="J34" s="2">
        <v>31.8</v>
      </c>
      <c r="K34" s="2">
        <v>24</v>
      </c>
      <c r="L34" t="s">
        <v>61</v>
      </c>
      <c r="M34">
        <v>3</v>
      </c>
      <c r="N34">
        <v>1</v>
      </c>
      <c r="O34">
        <v>0</v>
      </c>
    </row>
    <row r="35" spans="1:15">
      <c r="A35" t="s">
        <v>131</v>
      </c>
      <c r="B35" s="1">
        <v>46079</v>
      </c>
      <c r="C35" t="s">
        <v>71</v>
      </c>
      <c r="D35" t="s">
        <v>55</v>
      </c>
      <c r="E35" t="s">
        <v>56</v>
      </c>
      <c r="F35" t="s">
        <v>66</v>
      </c>
      <c r="G35" t="s">
        <v>79</v>
      </c>
      <c r="H35" t="s">
        <v>86</v>
      </c>
      <c r="I35" t="s">
        <v>87</v>
      </c>
      <c r="J35" s="2">
        <v>14.8</v>
      </c>
      <c r="K35" s="2">
        <v>24</v>
      </c>
      <c r="L35" t="s">
        <v>69</v>
      </c>
      <c r="M35">
        <v>5</v>
      </c>
      <c r="N35">
        <v>1</v>
      </c>
      <c r="O35">
        <v>1</v>
      </c>
    </row>
    <row r="36" spans="1:15">
      <c r="A36" t="s">
        <v>132</v>
      </c>
      <c r="B36" s="1">
        <v>46048</v>
      </c>
      <c r="C36" t="s">
        <v>85</v>
      </c>
      <c r="D36" t="s">
        <v>72</v>
      </c>
      <c r="E36" t="s">
        <v>73</v>
      </c>
      <c r="F36" t="s">
        <v>57</v>
      </c>
      <c r="G36" t="s">
        <v>58</v>
      </c>
      <c r="H36" t="s">
        <v>121</v>
      </c>
      <c r="I36" t="s">
        <v>109</v>
      </c>
      <c r="J36" s="2">
        <v>9.5</v>
      </c>
      <c r="K36" s="2">
        <v>8</v>
      </c>
      <c r="L36" t="s">
        <v>61</v>
      </c>
      <c r="M36">
        <v>5</v>
      </c>
      <c r="N36">
        <v>1</v>
      </c>
      <c r="O36">
        <v>0</v>
      </c>
    </row>
    <row r="37" spans="1:15">
      <c r="A37" t="s">
        <v>133</v>
      </c>
      <c r="B37" s="1">
        <v>46098</v>
      </c>
      <c r="C37" t="s">
        <v>54</v>
      </c>
      <c r="D37" t="s">
        <v>72</v>
      </c>
      <c r="E37" t="s">
        <v>73</v>
      </c>
      <c r="F37" t="s">
        <v>74</v>
      </c>
      <c r="G37" t="s">
        <v>79</v>
      </c>
      <c r="H37" t="s">
        <v>92</v>
      </c>
      <c r="I37" t="s">
        <v>111</v>
      </c>
      <c r="J37" s="2">
        <v>10.9</v>
      </c>
      <c r="K37" s="2">
        <v>72</v>
      </c>
      <c r="L37" t="s">
        <v>69</v>
      </c>
      <c r="M37">
        <v>2</v>
      </c>
      <c r="N37">
        <v>1</v>
      </c>
      <c r="O37">
        <v>1</v>
      </c>
    </row>
    <row r="38" spans="1:15">
      <c r="A38" t="s">
        <v>134</v>
      </c>
      <c r="B38" s="1">
        <v>46076</v>
      </c>
      <c r="C38" t="s">
        <v>71</v>
      </c>
      <c r="D38" t="s">
        <v>99</v>
      </c>
      <c r="E38" t="s">
        <v>100</v>
      </c>
      <c r="F38" t="s">
        <v>57</v>
      </c>
      <c r="G38" t="s">
        <v>67</v>
      </c>
      <c r="H38" t="s">
        <v>59</v>
      </c>
      <c r="I38" t="s">
        <v>87</v>
      </c>
      <c r="J38" s="2">
        <v>42.9</v>
      </c>
      <c r="K38" s="2">
        <v>48</v>
      </c>
      <c r="L38" t="s">
        <v>69</v>
      </c>
      <c r="M38">
        <v>5</v>
      </c>
      <c r="N38">
        <v>1</v>
      </c>
      <c r="O38">
        <v>1</v>
      </c>
    </row>
    <row r="39" spans="1:15">
      <c r="A39" t="s">
        <v>135</v>
      </c>
      <c r="B39" s="1">
        <v>46201</v>
      </c>
      <c r="C39" t="s">
        <v>104</v>
      </c>
      <c r="D39" t="s">
        <v>94</v>
      </c>
      <c r="E39" t="s">
        <v>56</v>
      </c>
      <c r="F39" t="s">
        <v>78</v>
      </c>
      <c r="G39" t="s">
        <v>58</v>
      </c>
      <c r="H39" t="s">
        <v>86</v>
      </c>
      <c r="I39" t="s">
        <v>80</v>
      </c>
      <c r="J39" s="2">
        <v>4.5</v>
      </c>
      <c r="K39" s="2">
        <v>24</v>
      </c>
      <c r="L39" t="s">
        <v>69</v>
      </c>
      <c r="M39">
        <v>1</v>
      </c>
      <c r="N39">
        <v>1</v>
      </c>
      <c r="O39">
        <v>1</v>
      </c>
    </row>
    <row r="40" spans="1:15">
      <c r="A40" t="s">
        <v>136</v>
      </c>
      <c r="B40" s="1">
        <v>46130</v>
      </c>
      <c r="C40" t="s">
        <v>82</v>
      </c>
      <c r="D40" t="s">
        <v>89</v>
      </c>
      <c r="E40" t="s">
        <v>90</v>
      </c>
      <c r="F40" t="s">
        <v>74</v>
      </c>
      <c r="G40" t="s">
        <v>58</v>
      </c>
      <c r="H40" t="s">
        <v>59</v>
      </c>
      <c r="I40" t="s">
        <v>111</v>
      </c>
      <c r="J40" s="2">
        <v>55.6</v>
      </c>
      <c r="K40" s="2">
        <v>48</v>
      </c>
      <c r="L40" t="s">
        <v>61</v>
      </c>
      <c r="M40">
        <v>2</v>
      </c>
      <c r="N40">
        <v>1</v>
      </c>
      <c r="O40">
        <v>0</v>
      </c>
    </row>
    <row r="41" spans="1:15">
      <c r="A41" t="s">
        <v>137</v>
      </c>
      <c r="B41" s="1">
        <v>46108</v>
      </c>
      <c r="C41" t="s">
        <v>54</v>
      </c>
      <c r="D41" t="s">
        <v>99</v>
      </c>
      <c r="E41" t="s">
        <v>100</v>
      </c>
      <c r="F41" t="s">
        <v>74</v>
      </c>
      <c r="G41" t="s">
        <v>58</v>
      </c>
      <c r="H41" t="s">
        <v>59</v>
      </c>
      <c r="I41" t="s">
        <v>83</v>
      </c>
      <c r="J41" s="2">
        <v>38.6</v>
      </c>
      <c r="K41" s="2">
        <v>48</v>
      </c>
      <c r="L41" t="s">
        <v>69</v>
      </c>
      <c r="M41">
        <v>5</v>
      </c>
      <c r="N41">
        <v>1</v>
      </c>
      <c r="O41">
        <v>1</v>
      </c>
    </row>
    <row r="42" spans="1:15">
      <c r="A42" t="s">
        <v>138</v>
      </c>
      <c r="B42" s="1">
        <v>46089</v>
      </c>
      <c r="C42" t="s">
        <v>54</v>
      </c>
      <c r="D42" t="s">
        <v>94</v>
      </c>
      <c r="E42" t="s">
        <v>56</v>
      </c>
      <c r="F42" t="s">
        <v>66</v>
      </c>
      <c r="G42" t="s">
        <v>79</v>
      </c>
      <c r="H42" t="s">
        <v>59</v>
      </c>
      <c r="I42" t="s">
        <v>80</v>
      </c>
      <c r="J42" s="2">
        <v>8.6</v>
      </c>
      <c r="K42" s="2">
        <v>48</v>
      </c>
      <c r="L42" t="s">
        <v>69</v>
      </c>
      <c r="M42">
        <v>4</v>
      </c>
      <c r="N42">
        <v>1</v>
      </c>
      <c r="O42">
        <v>1</v>
      </c>
    </row>
    <row r="43" spans="1:15">
      <c r="A43" t="s">
        <v>139</v>
      </c>
      <c r="B43" s="1">
        <v>46036</v>
      </c>
      <c r="C43" t="s">
        <v>85</v>
      </c>
      <c r="D43" t="s">
        <v>106</v>
      </c>
      <c r="E43" t="s">
        <v>107</v>
      </c>
      <c r="F43" t="s">
        <v>66</v>
      </c>
      <c r="G43" t="s">
        <v>67</v>
      </c>
      <c r="H43" t="s">
        <v>86</v>
      </c>
      <c r="I43" t="s">
        <v>83</v>
      </c>
      <c r="J43" s="2">
        <v>33.1</v>
      </c>
      <c r="K43" s="2">
        <v>24</v>
      </c>
      <c r="L43" t="s">
        <v>61</v>
      </c>
      <c r="M43">
        <v>4</v>
      </c>
      <c r="N43">
        <v>1</v>
      </c>
      <c r="O43">
        <v>0</v>
      </c>
    </row>
    <row r="44" spans="1:15">
      <c r="A44" t="s">
        <v>140</v>
      </c>
      <c r="B44" s="1">
        <v>46200</v>
      </c>
      <c r="C44" t="s">
        <v>104</v>
      </c>
      <c r="D44" t="s">
        <v>64</v>
      </c>
      <c r="E44" t="s">
        <v>65</v>
      </c>
      <c r="F44" t="s">
        <v>78</v>
      </c>
      <c r="G44" t="s">
        <v>67</v>
      </c>
      <c r="H44" t="s">
        <v>86</v>
      </c>
      <c r="I44" t="s">
        <v>60</v>
      </c>
      <c r="J44" s="2">
        <v>3.2</v>
      </c>
      <c r="K44" s="2">
        <v>24</v>
      </c>
      <c r="L44" t="s">
        <v>69</v>
      </c>
      <c r="M44">
        <v>4</v>
      </c>
      <c r="N44">
        <v>1</v>
      </c>
      <c r="O44">
        <v>1</v>
      </c>
    </row>
    <row r="45" spans="1:15">
      <c r="A45" t="s">
        <v>141</v>
      </c>
      <c r="B45" s="1">
        <v>46098</v>
      </c>
      <c r="C45" t="s">
        <v>54</v>
      </c>
      <c r="D45" t="s">
        <v>55</v>
      </c>
      <c r="E45" t="s">
        <v>56</v>
      </c>
      <c r="F45" t="s">
        <v>74</v>
      </c>
      <c r="G45" t="s">
        <v>58</v>
      </c>
      <c r="H45" t="s">
        <v>59</v>
      </c>
      <c r="I45" t="s">
        <v>80</v>
      </c>
      <c r="J45" s="2">
        <v>19.7</v>
      </c>
      <c r="K45" s="2">
        <v>48</v>
      </c>
      <c r="L45" t="s">
        <v>69</v>
      </c>
      <c r="M45">
        <v>5</v>
      </c>
      <c r="N45">
        <v>1</v>
      </c>
      <c r="O45">
        <v>1</v>
      </c>
    </row>
    <row r="46" spans="1:15">
      <c r="A46" t="s">
        <v>142</v>
      </c>
      <c r="B46" s="1">
        <v>46130</v>
      </c>
      <c r="C46" t="s">
        <v>82</v>
      </c>
      <c r="D46" t="s">
        <v>96</v>
      </c>
      <c r="E46" t="s">
        <v>97</v>
      </c>
      <c r="F46" t="s">
        <v>66</v>
      </c>
      <c r="G46" t="s">
        <v>58</v>
      </c>
      <c r="H46" t="s">
        <v>121</v>
      </c>
      <c r="I46" t="s">
        <v>60</v>
      </c>
      <c r="J46" s="2">
        <v>9.3000000000000007</v>
      </c>
      <c r="K46" s="2">
        <v>8</v>
      </c>
      <c r="L46" t="s">
        <v>61</v>
      </c>
      <c r="M46">
        <v>1</v>
      </c>
      <c r="N46">
        <v>1</v>
      </c>
      <c r="O46">
        <v>0</v>
      </c>
    </row>
    <row r="47" spans="1:15">
      <c r="A47" t="s">
        <v>143</v>
      </c>
      <c r="B47" s="1">
        <v>46110</v>
      </c>
      <c r="C47" t="s">
        <v>54</v>
      </c>
      <c r="D47" t="s">
        <v>94</v>
      </c>
      <c r="E47" t="s">
        <v>56</v>
      </c>
      <c r="F47" t="s">
        <v>74</v>
      </c>
      <c r="G47" t="s">
        <v>75</v>
      </c>
      <c r="H47" t="s">
        <v>86</v>
      </c>
      <c r="I47" t="s">
        <v>76</v>
      </c>
      <c r="J47" s="2">
        <v>30.2</v>
      </c>
      <c r="K47" s="2">
        <v>24</v>
      </c>
      <c r="L47" t="s">
        <v>61</v>
      </c>
      <c r="M47">
        <v>3</v>
      </c>
      <c r="N47">
        <v>1</v>
      </c>
      <c r="O47">
        <v>0</v>
      </c>
    </row>
    <row r="48" spans="1:15">
      <c r="A48" t="s">
        <v>144</v>
      </c>
      <c r="B48" s="1">
        <v>46034</v>
      </c>
      <c r="C48" t="s">
        <v>85</v>
      </c>
      <c r="D48" t="s">
        <v>72</v>
      </c>
      <c r="E48" t="s">
        <v>73</v>
      </c>
      <c r="F48" t="s">
        <v>66</v>
      </c>
      <c r="G48" t="s">
        <v>58</v>
      </c>
      <c r="H48" t="s">
        <v>92</v>
      </c>
      <c r="I48" t="s">
        <v>119</v>
      </c>
      <c r="J48" s="2">
        <v>58.2</v>
      </c>
      <c r="K48" s="2">
        <v>72</v>
      </c>
      <c r="L48" t="s">
        <v>69</v>
      </c>
      <c r="M48">
        <v>5</v>
      </c>
      <c r="N48">
        <v>1</v>
      </c>
      <c r="O48">
        <v>1</v>
      </c>
    </row>
    <row r="49" spans="1:15">
      <c r="A49" t="s">
        <v>145</v>
      </c>
      <c r="B49" s="1">
        <v>46171</v>
      </c>
      <c r="C49" t="s">
        <v>63</v>
      </c>
      <c r="D49" t="s">
        <v>106</v>
      </c>
      <c r="E49" t="s">
        <v>107</v>
      </c>
      <c r="F49" t="s">
        <v>74</v>
      </c>
      <c r="G49" t="s">
        <v>75</v>
      </c>
      <c r="H49" t="s">
        <v>86</v>
      </c>
      <c r="I49" t="s">
        <v>87</v>
      </c>
      <c r="J49" s="2">
        <v>8.6999999999999993</v>
      </c>
      <c r="K49" s="2">
        <v>24</v>
      </c>
      <c r="L49" t="s">
        <v>69</v>
      </c>
      <c r="M49">
        <v>4</v>
      </c>
      <c r="N49">
        <v>1</v>
      </c>
      <c r="O49">
        <v>1</v>
      </c>
    </row>
    <row r="50" spans="1:15">
      <c r="A50" t="s">
        <v>146</v>
      </c>
      <c r="B50" s="1">
        <v>46149</v>
      </c>
      <c r="C50" t="s">
        <v>63</v>
      </c>
      <c r="D50" t="s">
        <v>96</v>
      </c>
      <c r="E50" t="s">
        <v>97</v>
      </c>
      <c r="F50" t="s">
        <v>66</v>
      </c>
      <c r="G50" t="s">
        <v>67</v>
      </c>
      <c r="H50" t="s">
        <v>86</v>
      </c>
      <c r="I50" t="s">
        <v>115</v>
      </c>
      <c r="J50" s="2">
        <v>31.4</v>
      </c>
      <c r="K50" s="2">
        <v>24</v>
      </c>
      <c r="L50" t="s">
        <v>61</v>
      </c>
      <c r="M50">
        <v>4</v>
      </c>
      <c r="N50">
        <v>1</v>
      </c>
      <c r="O50">
        <v>0</v>
      </c>
    </row>
    <row r="51" spans="1:15">
      <c r="A51" t="s">
        <v>147</v>
      </c>
      <c r="B51" s="1">
        <v>46190</v>
      </c>
      <c r="C51" t="s">
        <v>104</v>
      </c>
      <c r="D51" t="s">
        <v>96</v>
      </c>
      <c r="E51" t="s">
        <v>97</v>
      </c>
      <c r="F51" t="s">
        <v>57</v>
      </c>
      <c r="G51" t="s">
        <v>75</v>
      </c>
      <c r="H51" t="s">
        <v>59</v>
      </c>
      <c r="I51" t="s">
        <v>109</v>
      </c>
      <c r="J51" s="2">
        <v>30.7</v>
      </c>
      <c r="K51" s="2">
        <v>48</v>
      </c>
      <c r="L51" t="s">
        <v>69</v>
      </c>
      <c r="M51">
        <v>4</v>
      </c>
      <c r="N51">
        <v>1</v>
      </c>
      <c r="O51">
        <v>1</v>
      </c>
    </row>
    <row r="52" spans="1:15">
      <c r="A52" t="s">
        <v>148</v>
      </c>
      <c r="B52" s="1">
        <v>46084</v>
      </c>
      <c r="C52" t="s">
        <v>54</v>
      </c>
      <c r="D52" t="s">
        <v>72</v>
      </c>
      <c r="E52" t="s">
        <v>73</v>
      </c>
      <c r="F52" t="s">
        <v>57</v>
      </c>
      <c r="G52" t="s">
        <v>67</v>
      </c>
      <c r="H52" t="s">
        <v>92</v>
      </c>
      <c r="I52" t="s">
        <v>115</v>
      </c>
      <c r="J52" s="2">
        <v>97.2</v>
      </c>
      <c r="K52" s="2">
        <v>72</v>
      </c>
      <c r="L52" t="s">
        <v>61</v>
      </c>
      <c r="M52">
        <v>3</v>
      </c>
      <c r="N52">
        <v>1</v>
      </c>
      <c r="O52">
        <v>0</v>
      </c>
    </row>
    <row r="53" spans="1:15">
      <c r="A53" t="s">
        <v>149</v>
      </c>
      <c r="B53" s="1">
        <v>46131</v>
      </c>
      <c r="C53" t="s">
        <v>82</v>
      </c>
      <c r="D53" t="s">
        <v>106</v>
      </c>
      <c r="E53" t="s">
        <v>107</v>
      </c>
      <c r="F53" t="s">
        <v>78</v>
      </c>
      <c r="G53" t="s">
        <v>58</v>
      </c>
      <c r="H53" t="s">
        <v>92</v>
      </c>
      <c r="I53" t="s">
        <v>109</v>
      </c>
      <c r="J53" s="2">
        <v>100.7</v>
      </c>
      <c r="K53" s="2">
        <v>72</v>
      </c>
      <c r="L53" t="s">
        <v>61</v>
      </c>
      <c r="M53">
        <v>5</v>
      </c>
      <c r="N53">
        <v>1</v>
      </c>
      <c r="O53">
        <v>0</v>
      </c>
    </row>
    <row r="54" spans="1:15">
      <c r="A54" t="s">
        <v>150</v>
      </c>
      <c r="B54" s="1">
        <v>46152</v>
      </c>
      <c r="C54" t="s">
        <v>63</v>
      </c>
      <c r="D54" t="s">
        <v>96</v>
      </c>
      <c r="E54" t="s">
        <v>97</v>
      </c>
      <c r="F54" t="s">
        <v>74</v>
      </c>
      <c r="G54" t="s">
        <v>58</v>
      </c>
      <c r="H54" t="s">
        <v>59</v>
      </c>
      <c r="I54" t="s">
        <v>80</v>
      </c>
      <c r="J54" s="2">
        <v>18.8</v>
      </c>
      <c r="K54" s="2">
        <v>48</v>
      </c>
      <c r="L54" t="s">
        <v>69</v>
      </c>
      <c r="M54">
        <v>5</v>
      </c>
      <c r="N54">
        <v>1</v>
      </c>
      <c r="O54">
        <v>1</v>
      </c>
    </row>
    <row r="55" spans="1:15">
      <c r="A55" t="s">
        <v>151</v>
      </c>
      <c r="B55" s="1">
        <v>46088</v>
      </c>
      <c r="C55" t="s">
        <v>54</v>
      </c>
      <c r="D55" t="s">
        <v>55</v>
      </c>
      <c r="E55" t="s">
        <v>56</v>
      </c>
      <c r="F55" t="s">
        <v>78</v>
      </c>
      <c r="G55" t="s">
        <v>79</v>
      </c>
      <c r="H55" t="s">
        <v>59</v>
      </c>
      <c r="I55" t="s">
        <v>83</v>
      </c>
      <c r="J55" s="2">
        <v>21.2</v>
      </c>
      <c r="K55" s="2">
        <v>48</v>
      </c>
      <c r="L55" t="s">
        <v>69</v>
      </c>
      <c r="M55">
        <v>4</v>
      </c>
      <c r="N55">
        <v>1</v>
      </c>
      <c r="O55">
        <v>1</v>
      </c>
    </row>
    <row r="56" spans="1:15">
      <c r="A56" t="s">
        <v>152</v>
      </c>
      <c r="B56" s="1">
        <v>46057</v>
      </c>
      <c r="C56" t="s">
        <v>71</v>
      </c>
      <c r="D56" t="s">
        <v>96</v>
      </c>
      <c r="E56" t="s">
        <v>97</v>
      </c>
      <c r="F56" t="s">
        <v>66</v>
      </c>
      <c r="G56" t="s">
        <v>58</v>
      </c>
      <c r="H56" t="s">
        <v>59</v>
      </c>
      <c r="I56" t="s">
        <v>60</v>
      </c>
      <c r="J56" s="2">
        <v>4.2</v>
      </c>
      <c r="K56" s="2">
        <v>48</v>
      </c>
      <c r="L56" t="s">
        <v>69</v>
      </c>
      <c r="M56">
        <v>3</v>
      </c>
      <c r="N56">
        <v>1</v>
      </c>
      <c r="O56">
        <v>1</v>
      </c>
    </row>
    <row r="57" spans="1:15">
      <c r="A57" t="s">
        <v>153</v>
      </c>
      <c r="B57" s="1">
        <v>46131</v>
      </c>
      <c r="C57" t="s">
        <v>82</v>
      </c>
      <c r="D57" t="s">
        <v>94</v>
      </c>
      <c r="E57" t="s">
        <v>56</v>
      </c>
      <c r="F57" t="s">
        <v>57</v>
      </c>
      <c r="G57" t="s">
        <v>75</v>
      </c>
      <c r="H57" t="s">
        <v>86</v>
      </c>
      <c r="I57" t="s">
        <v>119</v>
      </c>
      <c r="J57" s="2">
        <v>29.7</v>
      </c>
      <c r="K57" s="2">
        <v>24</v>
      </c>
      <c r="L57" t="s">
        <v>61</v>
      </c>
      <c r="M57">
        <v>4</v>
      </c>
      <c r="N57">
        <v>1</v>
      </c>
      <c r="O57">
        <v>0</v>
      </c>
    </row>
    <row r="58" spans="1:15">
      <c r="A58" t="s">
        <v>154</v>
      </c>
      <c r="B58" s="1">
        <v>46184</v>
      </c>
      <c r="C58" t="s">
        <v>104</v>
      </c>
      <c r="D58" t="s">
        <v>106</v>
      </c>
      <c r="E58" t="s">
        <v>107</v>
      </c>
      <c r="F58" t="s">
        <v>74</v>
      </c>
      <c r="G58" t="s">
        <v>58</v>
      </c>
      <c r="H58" t="s">
        <v>92</v>
      </c>
      <c r="I58" t="s">
        <v>109</v>
      </c>
      <c r="J58" s="2">
        <v>41.3</v>
      </c>
      <c r="K58" s="2">
        <v>72</v>
      </c>
      <c r="L58" t="s">
        <v>69</v>
      </c>
      <c r="M58">
        <v>4</v>
      </c>
      <c r="N58">
        <v>1</v>
      </c>
      <c r="O58">
        <v>1</v>
      </c>
    </row>
    <row r="59" spans="1:15">
      <c r="A59" t="s">
        <v>155</v>
      </c>
      <c r="B59" s="1">
        <v>46132</v>
      </c>
      <c r="C59" t="s">
        <v>82</v>
      </c>
      <c r="D59" t="s">
        <v>96</v>
      </c>
      <c r="E59" t="s">
        <v>97</v>
      </c>
      <c r="F59" t="s">
        <v>57</v>
      </c>
      <c r="G59" t="s">
        <v>75</v>
      </c>
      <c r="H59" t="s">
        <v>59</v>
      </c>
      <c r="I59" t="s">
        <v>83</v>
      </c>
      <c r="J59" s="2">
        <v>70.7</v>
      </c>
      <c r="K59" s="2">
        <v>48</v>
      </c>
      <c r="L59" t="s">
        <v>61</v>
      </c>
      <c r="M59">
        <v>3</v>
      </c>
      <c r="N59">
        <v>1</v>
      </c>
      <c r="O59">
        <v>0</v>
      </c>
    </row>
    <row r="60" spans="1:15">
      <c r="A60" t="s">
        <v>156</v>
      </c>
      <c r="B60" s="1">
        <v>46094</v>
      </c>
      <c r="C60" t="s">
        <v>54</v>
      </c>
      <c r="D60" t="s">
        <v>72</v>
      </c>
      <c r="E60" t="s">
        <v>73</v>
      </c>
      <c r="F60" t="s">
        <v>78</v>
      </c>
      <c r="G60" t="s">
        <v>67</v>
      </c>
      <c r="H60" t="s">
        <v>92</v>
      </c>
      <c r="I60" t="s">
        <v>109</v>
      </c>
      <c r="J60" s="2">
        <v>37.700000000000003</v>
      </c>
      <c r="K60" s="2">
        <v>72</v>
      </c>
      <c r="L60" t="s">
        <v>69</v>
      </c>
      <c r="M60">
        <v>5</v>
      </c>
      <c r="N60">
        <v>1</v>
      </c>
      <c r="O60">
        <v>1</v>
      </c>
    </row>
    <row r="61" spans="1:15">
      <c r="A61" t="s">
        <v>157</v>
      </c>
      <c r="B61" s="1">
        <v>46132</v>
      </c>
      <c r="C61" t="s">
        <v>82</v>
      </c>
      <c r="D61" t="s">
        <v>64</v>
      </c>
      <c r="E61" t="s">
        <v>65</v>
      </c>
      <c r="F61" t="s">
        <v>66</v>
      </c>
      <c r="G61" t="s">
        <v>67</v>
      </c>
      <c r="H61" t="s">
        <v>92</v>
      </c>
      <c r="I61" t="s">
        <v>80</v>
      </c>
      <c r="J61" s="2">
        <v>84.7</v>
      </c>
      <c r="K61" s="2">
        <v>72</v>
      </c>
      <c r="L61" t="s">
        <v>61</v>
      </c>
      <c r="M61">
        <v>4</v>
      </c>
      <c r="N61">
        <v>1</v>
      </c>
      <c r="O61">
        <v>0</v>
      </c>
    </row>
    <row r="62" spans="1:15">
      <c r="A62" t="s">
        <v>158</v>
      </c>
      <c r="B62" s="1">
        <v>46026</v>
      </c>
      <c r="C62" t="s">
        <v>85</v>
      </c>
      <c r="D62" t="s">
        <v>64</v>
      </c>
      <c r="E62" t="s">
        <v>65</v>
      </c>
      <c r="F62" t="s">
        <v>78</v>
      </c>
      <c r="G62" t="s">
        <v>75</v>
      </c>
      <c r="H62" t="s">
        <v>59</v>
      </c>
      <c r="I62" t="s">
        <v>87</v>
      </c>
      <c r="J62" s="2">
        <v>35.1</v>
      </c>
      <c r="K62" s="2">
        <v>48</v>
      </c>
      <c r="L62" t="s">
        <v>69</v>
      </c>
      <c r="M62">
        <v>3</v>
      </c>
      <c r="N62">
        <v>1</v>
      </c>
      <c r="O62">
        <v>1</v>
      </c>
    </row>
    <row r="63" spans="1:15">
      <c r="A63" t="s">
        <v>159</v>
      </c>
      <c r="B63" s="1">
        <v>46182</v>
      </c>
      <c r="C63" t="s">
        <v>104</v>
      </c>
      <c r="D63" t="s">
        <v>64</v>
      </c>
      <c r="E63" t="s">
        <v>65</v>
      </c>
      <c r="F63" t="s">
        <v>78</v>
      </c>
      <c r="G63" t="s">
        <v>79</v>
      </c>
      <c r="H63" t="s">
        <v>59</v>
      </c>
      <c r="I63" t="s">
        <v>111</v>
      </c>
      <c r="J63" s="2">
        <v>37.5</v>
      </c>
      <c r="K63" s="2">
        <v>48</v>
      </c>
      <c r="L63" t="s">
        <v>69</v>
      </c>
      <c r="M63">
        <v>5</v>
      </c>
      <c r="N63">
        <v>1</v>
      </c>
      <c r="O63">
        <v>1</v>
      </c>
    </row>
    <row r="64" spans="1:15">
      <c r="A64" t="s">
        <v>160</v>
      </c>
      <c r="B64" s="1">
        <v>46185</v>
      </c>
      <c r="C64" t="s">
        <v>104</v>
      </c>
      <c r="D64" t="s">
        <v>64</v>
      </c>
      <c r="E64" t="s">
        <v>65</v>
      </c>
      <c r="F64" t="s">
        <v>78</v>
      </c>
      <c r="G64" t="s">
        <v>79</v>
      </c>
      <c r="H64" t="s">
        <v>59</v>
      </c>
      <c r="I64" t="s">
        <v>68</v>
      </c>
      <c r="J64" s="2">
        <v>39.5</v>
      </c>
      <c r="K64" s="2">
        <v>48</v>
      </c>
      <c r="L64" t="s">
        <v>69</v>
      </c>
      <c r="M64">
        <v>4</v>
      </c>
      <c r="N64">
        <v>1</v>
      </c>
      <c r="O64">
        <v>1</v>
      </c>
    </row>
    <row r="65" spans="1:15">
      <c r="A65" t="s">
        <v>161</v>
      </c>
      <c r="B65" s="1">
        <v>46184</v>
      </c>
      <c r="C65" t="s">
        <v>104</v>
      </c>
      <c r="D65" t="s">
        <v>106</v>
      </c>
      <c r="E65" t="s">
        <v>107</v>
      </c>
      <c r="F65" t="s">
        <v>57</v>
      </c>
      <c r="G65" t="s">
        <v>67</v>
      </c>
      <c r="H65" t="s">
        <v>86</v>
      </c>
      <c r="I65" t="s">
        <v>115</v>
      </c>
      <c r="J65" s="2">
        <v>23.9</v>
      </c>
      <c r="K65" s="2">
        <v>24</v>
      </c>
      <c r="L65" t="s">
        <v>69</v>
      </c>
      <c r="M65">
        <v>4</v>
      </c>
      <c r="N65">
        <v>1</v>
      </c>
      <c r="O65">
        <v>1</v>
      </c>
    </row>
    <row r="66" spans="1:15">
      <c r="A66" t="s">
        <v>162</v>
      </c>
      <c r="B66" s="1">
        <v>46175</v>
      </c>
      <c r="C66" t="s">
        <v>104</v>
      </c>
      <c r="D66" t="s">
        <v>99</v>
      </c>
      <c r="E66" t="s">
        <v>100</v>
      </c>
      <c r="F66" t="s">
        <v>57</v>
      </c>
      <c r="G66" t="s">
        <v>75</v>
      </c>
      <c r="H66" t="s">
        <v>59</v>
      </c>
      <c r="I66" t="s">
        <v>119</v>
      </c>
      <c r="J66" s="2">
        <v>18.5</v>
      </c>
      <c r="K66" s="2">
        <v>48</v>
      </c>
      <c r="L66" t="s">
        <v>69</v>
      </c>
      <c r="M66">
        <v>3</v>
      </c>
      <c r="N66">
        <v>1</v>
      </c>
      <c r="O66">
        <v>1</v>
      </c>
    </row>
    <row r="67" spans="1:15">
      <c r="A67" t="s">
        <v>163</v>
      </c>
      <c r="B67" s="1">
        <v>46060</v>
      </c>
      <c r="C67" t="s">
        <v>71</v>
      </c>
      <c r="D67" t="s">
        <v>99</v>
      </c>
      <c r="E67" t="s">
        <v>100</v>
      </c>
      <c r="F67" t="s">
        <v>57</v>
      </c>
      <c r="G67" t="s">
        <v>75</v>
      </c>
      <c r="H67" t="s">
        <v>59</v>
      </c>
      <c r="I67" t="s">
        <v>119</v>
      </c>
      <c r="J67" s="2">
        <v>23.6</v>
      </c>
      <c r="K67" s="2">
        <v>48</v>
      </c>
      <c r="L67" t="s">
        <v>69</v>
      </c>
      <c r="M67">
        <v>4</v>
      </c>
      <c r="N67">
        <v>1</v>
      </c>
      <c r="O67">
        <v>1</v>
      </c>
    </row>
    <row r="68" spans="1:15">
      <c r="A68" t="s">
        <v>164</v>
      </c>
      <c r="B68" s="1">
        <v>46132</v>
      </c>
      <c r="C68" t="s">
        <v>82</v>
      </c>
      <c r="D68" t="s">
        <v>55</v>
      </c>
      <c r="E68" t="s">
        <v>56</v>
      </c>
      <c r="F68" t="s">
        <v>78</v>
      </c>
      <c r="G68" t="s">
        <v>79</v>
      </c>
      <c r="H68" t="s">
        <v>92</v>
      </c>
      <c r="I68" t="s">
        <v>76</v>
      </c>
      <c r="J68" s="2">
        <v>92.7</v>
      </c>
      <c r="K68" s="2">
        <v>72</v>
      </c>
      <c r="L68" t="s">
        <v>61</v>
      </c>
      <c r="M68">
        <v>5</v>
      </c>
      <c r="N68">
        <v>1</v>
      </c>
      <c r="O68">
        <v>0</v>
      </c>
    </row>
    <row r="69" spans="1:15">
      <c r="A69" t="s">
        <v>165</v>
      </c>
      <c r="B69" s="1">
        <v>46090</v>
      </c>
      <c r="C69" t="s">
        <v>54</v>
      </c>
      <c r="D69" t="s">
        <v>64</v>
      </c>
      <c r="E69" t="s">
        <v>65</v>
      </c>
      <c r="F69" t="s">
        <v>74</v>
      </c>
      <c r="G69" t="s">
        <v>58</v>
      </c>
      <c r="H69" t="s">
        <v>59</v>
      </c>
      <c r="I69" t="s">
        <v>115</v>
      </c>
      <c r="J69" s="2">
        <v>30.5</v>
      </c>
      <c r="K69" s="2">
        <v>48</v>
      </c>
      <c r="L69" t="s">
        <v>69</v>
      </c>
      <c r="M69">
        <v>1</v>
      </c>
      <c r="N69">
        <v>1</v>
      </c>
      <c r="O69">
        <v>1</v>
      </c>
    </row>
    <row r="70" spans="1:15">
      <c r="A70" t="s">
        <v>166</v>
      </c>
      <c r="B70" s="1">
        <v>46122</v>
      </c>
      <c r="C70" t="s">
        <v>82</v>
      </c>
      <c r="D70" t="s">
        <v>89</v>
      </c>
      <c r="E70" t="s">
        <v>90</v>
      </c>
      <c r="F70" t="s">
        <v>66</v>
      </c>
      <c r="G70" t="s">
        <v>75</v>
      </c>
      <c r="H70" t="s">
        <v>59</v>
      </c>
      <c r="I70" t="s">
        <v>60</v>
      </c>
      <c r="J70" s="2">
        <v>73.8</v>
      </c>
      <c r="K70" s="2">
        <v>48</v>
      </c>
      <c r="L70" t="s">
        <v>61</v>
      </c>
      <c r="M70">
        <v>2</v>
      </c>
      <c r="N70">
        <v>1</v>
      </c>
      <c r="O70">
        <v>0</v>
      </c>
    </row>
    <row r="71" spans="1:15">
      <c r="A71" t="s">
        <v>167</v>
      </c>
      <c r="B71" s="1">
        <v>46103</v>
      </c>
      <c r="C71" t="s">
        <v>54</v>
      </c>
      <c r="D71" t="s">
        <v>72</v>
      </c>
      <c r="E71" t="s">
        <v>73</v>
      </c>
      <c r="F71" t="s">
        <v>78</v>
      </c>
      <c r="G71" t="s">
        <v>58</v>
      </c>
      <c r="H71" t="s">
        <v>121</v>
      </c>
      <c r="I71" t="s">
        <v>111</v>
      </c>
      <c r="J71" s="2">
        <v>6.1</v>
      </c>
      <c r="K71" s="2">
        <v>8</v>
      </c>
      <c r="L71" t="s">
        <v>69</v>
      </c>
      <c r="M71">
        <v>4</v>
      </c>
      <c r="N71">
        <v>1</v>
      </c>
      <c r="O71">
        <v>1</v>
      </c>
    </row>
    <row r="72" spans="1:15">
      <c r="A72" t="s">
        <v>168</v>
      </c>
      <c r="B72" s="1">
        <v>46074</v>
      </c>
      <c r="C72" t="s">
        <v>71</v>
      </c>
      <c r="D72" t="s">
        <v>99</v>
      </c>
      <c r="E72" t="s">
        <v>100</v>
      </c>
      <c r="F72" t="s">
        <v>78</v>
      </c>
      <c r="G72" t="s">
        <v>79</v>
      </c>
      <c r="H72" t="s">
        <v>59</v>
      </c>
      <c r="I72" t="s">
        <v>60</v>
      </c>
      <c r="J72" s="2">
        <v>3</v>
      </c>
      <c r="K72" s="2">
        <v>48</v>
      </c>
      <c r="L72" t="s">
        <v>69</v>
      </c>
      <c r="M72">
        <v>2</v>
      </c>
      <c r="N72">
        <v>1</v>
      </c>
      <c r="O72">
        <v>1</v>
      </c>
    </row>
    <row r="73" spans="1:15">
      <c r="A73" t="s">
        <v>169</v>
      </c>
      <c r="B73" s="1">
        <v>46173</v>
      </c>
      <c r="C73" t="s">
        <v>63</v>
      </c>
      <c r="D73" t="s">
        <v>99</v>
      </c>
      <c r="E73" t="s">
        <v>100</v>
      </c>
      <c r="F73" t="s">
        <v>74</v>
      </c>
      <c r="G73" t="s">
        <v>58</v>
      </c>
      <c r="H73" t="s">
        <v>92</v>
      </c>
      <c r="I73" t="s">
        <v>87</v>
      </c>
      <c r="J73" s="2">
        <v>76</v>
      </c>
      <c r="K73" s="2">
        <v>72</v>
      </c>
      <c r="L73" t="s">
        <v>61</v>
      </c>
      <c r="M73">
        <v>4</v>
      </c>
      <c r="N73">
        <v>1</v>
      </c>
      <c r="O73">
        <v>0</v>
      </c>
    </row>
    <row r="74" spans="1:15">
      <c r="A74" t="s">
        <v>170</v>
      </c>
      <c r="B74" s="1">
        <v>46035</v>
      </c>
      <c r="C74" t="s">
        <v>85</v>
      </c>
      <c r="D74" t="s">
        <v>106</v>
      </c>
      <c r="E74" t="s">
        <v>107</v>
      </c>
      <c r="F74" t="s">
        <v>78</v>
      </c>
      <c r="G74" t="s">
        <v>58</v>
      </c>
      <c r="H74" t="s">
        <v>86</v>
      </c>
      <c r="I74" t="s">
        <v>60</v>
      </c>
      <c r="J74" s="2">
        <v>5.3</v>
      </c>
      <c r="K74" s="2">
        <v>24</v>
      </c>
      <c r="L74" t="s">
        <v>69</v>
      </c>
      <c r="M74">
        <v>4</v>
      </c>
      <c r="N74">
        <v>1</v>
      </c>
      <c r="O74">
        <v>1</v>
      </c>
    </row>
    <row r="75" spans="1:15">
      <c r="A75" t="s">
        <v>171</v>
      </c>
      <c r="B75" s="1">
        <v>46188</v>
      </c>
      <c r="C75" t="s">
        <v>104</v>
      </c>
      <c r="D75" t="s">
        <v>96</v>
      </c>
      <c r="E75" t="s">
        <v>97</v>
      </c>
      <c r="F75" t="s">
        <v>66</v>
      </c>
      <c r="G75" t="s">
        <v>75</v>
      </c>
      <c r="H75" t="s">
        <v>86</v>
      </c>
      <c r="I75" t="s">
        <v>68</v>
      </c>
      <c r="J75" s="2">
        <v>31</v>
      </c>
      <c r="K75" s="2">
        <v>24</v>
      </c>
      <c r="L75" t="s">
        <v>61</v>
      </c>
      <c r="M75">
        <v>3</v>
      </c>
      <c r="N75">
        <v>1</v>
      </c>
      <c r="O75">
        <v>0</v>
      </c>
    </row>
    <row r="76" spans="1:15">
      <c r="A76" t="s">
        <v>172</v>
      </c>
      <c r="B76" s="1">
        <v>46132</v>
      </c>
      <c r="C76" t="s">
        <v>82</v>
      </c>
      <c r="D76" t="s">
        <v>106</v>
      </c>
      <c r="E76" t="s">
        <v>107</v>
      </c>
      <c r="F76" t="s">
        <v>57</v>
      </c>
      <c r="G76" t="s">
        <v>58</v>
      </c>
      <c r="H76" t="s">
        <v>59</v>
      </c>
      <c r="I76" t="s">
        <v>119</v>
      </c>
      <c r="J76" s="2">
        <v>28.8</v>
      </c>
      <c r="K76" s="2">
        <v>48</v>
      </c>
      <c r="L76" t="s">
        <v>69</v>
      </c>
      <c r="M76">
        <v>4</v>
      </c>
      <c r="N76">
        <v>1</v>
      </c>
      <c r="O76">
        <v>1</v>
      </c>
    </row>
    <row r="77" spans="1:15">
      <c r="A77" t="s">
        <v>173</v>
      </c>
      <c r="B77" s="1">
        <v>46175</v>
      </c>
      <c r="C77" t="s">
        <v>104</v>
      </c>
      <c r="D77" t="s">
        <v>99</v>
      </c>
      <c r="E77" t="s">
        <v>100</v>
      </c>
      <c r="F77" t="s">
        <v>78</v>
      </c>
      <c r="G77" t="s">
        <v>58</v>
      </c>
      <c r="H77" t="s">
        <v>92</v>
      </c>
      <c r="I77" t="s">
        <v>115</v>
      </c>
      <c r="J77" s="2">
        <v>111</v>
      </c>
      <c r="K77" s="2">
        <v>72</v>
      </c>
      <c r="L77" t="s">
        <v>61</v>
      </c>
      <c r="M77">
        <v>2</v>
      </c>
      <c r="N77">
        <v>1</v>
      </c>
      <c r="O77">
        <v>0</v>
      </c>
    </row>
    <row r="78" spans="1:15">
      <c r="A78" t="s">
        <v>174</v>
      </c>
      <c r="B78" s="1">
        <v>46178</v>
      </c>
      <c r="C78" t="s">
        <v>104</v>
      </c>
      <c r="D78" t="s">
        <v>55</v>
      </c>
      <c r="E78" t="s">
        <v>56</v>
      </c>
      <c r="F78" t="s">
        <v>78</v>
      </c>
      <c r="G78" t="s">
        <v>79</v>
      </c>
      <c r="H78" t="s">
        <v>86</v>
      </c>
      <c r="I78" t="s">
        <v>76</v>
      </c>
      <c r="J78" s="2">
        <v>37</v>
      </c>
      <c r="K78" s="2">
        <v>24</v>
      </c>
      <c r="L78" t="s">
        <v>61</v>
      </c>
      <c r="M78">
        <v>4</v>
      </c>
      <c r="N78">
        <v>1</v>
      </c>
      <c r="O78">
        <v>0</v>
      </c>
    </row>
    <row r="79" spans="1:15">
      <c r="A79" t="s">
        <v>175</v>
      </c>
      <c r="B79" s="1">
        <v>46095</v>
      </c>
      <c r="C79" t="s">
        <v>54</v>
      </c>
      <c r="D79" t="s">
        <v>89</v>
      </c>
      <c r="E79" t="s">
        <v>90</v>
      </c>
      <c r="F79" t="s">
        <v>66</v>
      </c>
      <c r="G79" t="s">
        <v>75</v>
      </c>
      <c r="H79" t="s">
        <v>59</v>
      </c>
      <c r="I79" t="s">
        <v>68</v>
      </c>
      <c r="J79" s="2">
        <v>40.1</v>
      </c>
      <c r="K79" s="2">
        <v>48</v>
      </c>
      <c r="L79" t="s">
        <v>69</v>
      </c>
      <c r="M79">
        <v>4</v>
      </c>
      <c r="N79">
        <v>1</v>
      </c>
      <c r="O79">
        <v>1</v>
      </c>
    </row>
    <row r="80" spans="1:15">
      <c r="A80" t="s">
        <v>176</v>
      </c>
      <c r="B80" s="1">
        <v>46144</v>
      </c>
      <c r="C80" t="s">
        <v>63</v>
      </c>
      <c r="D80" t="s">
        <v>55</v>
      </c>
      <c r="E80" t="s">
        <v>56</v>
      </c>
      <c r="F80" t="s">
        <v>78</v>
      </c>
      <c r="G80" t="s">
        <v>58</v>
      </c>
      <c r="H80" t="s">
        <v>59</v>
      </c>
      <c r="I80" t="s">
        <v>119</v>
      </c>
      <c r="J80" s="2">
        <v>8.6</v>
      </c>
      <c r="K80" s="2">
        <v>48</v>
      </c>
      <c r="L80" t="s">
        <v>69</v>
      </c>
      <c r="M80">
        <v>5</v>
      </c>
      <c r="N80">
        <v>1</v>
      </c>
      <c r="O80">
        <v>1</v>
      </c>
    </row>
    <row r="81" spans="1:15">
      <c r="A81" t="s">
        <v>177</v>
      </c>
      <c r="B81" s="1">
        <v>46188</v>
      </c>
      <c r="C81" t="s">
        <v>104</v>
      </c>
      <c r="D81" t="s">
        <v>72</v>
      </c>
      <c r="E81" t="s">
        <v>73</v>
      </c>
      <c r="F81" t="s">
        <v>74</v>
      </c>
      <c r="G81" t="s">
        <v>58</v>
      </c>
      <c r="H81" t="s">
        <v>59</v>
      </c>
      <c r="I81" t="s">
        <v>83</v>
      </c>
      <c r="J81" s="2">
        <v>36.700000000000003</v>
      </c>
      <c r="K81" s="2">
        <v>48</v>
      </c>
      <c r="L81" t="s">
        <v>69</v>
      </c>
      <c r="M81">
        <v>5</v>
      </c>
      <c r="N81">
        <v>1</v>
      </c>
      <c r="O81">
        <v>1</v>
      </c>
    </row>
    <row r="82" spans="1:15">
      <c r="A82" t="s">
        <v>178</v>
      </c>
      <c r="B82" s="1">
        <v>46044</v>
      </c>
      <c r="C82" t="s">
        <v>85</v>
      </c>
      <c r="D82" t="s">
        <v>89</v>
      </c>
      <c r="E82" t="s">
        <v>90</v>
      </c>
      <c r="F82" t="s">
        <v>57</v>
      </c>
      <c r="G82" t="s">
        <v>58</v>
      </c>
      <c r="H82" t="s">
        <v>59</v>
      </c>
      <c r="I82" t="s">
        <v>115</v>
      </c>
      <c r="J82" s="2">
        <v>47.7</v>
      </c>
      <c r="K82" s="2">
        <v>48</v>
      </c>
      <c r="L82" t="s">
        <v>69</v>
      </c>
      <c r="M82">
        <v>5</v>
      </c>
      <c r="N82">
        <v>1</v>
      </c>
      <c r="O82">
        <v>1</v>
      </c>
    </row>
    <row r="83" spans="1:15">
      <c r="A83" t="s">
        <v>179</v>
      </c>
      <c r="B83" s="1">
        <v>46191</v>
      </c>
      <c r="C83" t="s">
        <v>104</v>
      </c>
      <c r="D83" t="s">
        <v>72</v>
      </c>
      <c r="E83" t="s">
        <v>73</v>
      </c>
      <c r="F83" t="s">
        <v>78</v>
      </c>
      <c r="G83" t="s">
        <v>75</v>
      </c>
      <c r="H83" t="s">
        <v>59</v>
      </c>
      <c r="I83" t="s">
        <v>87</v>
      </c>
      <c r="J83" s="2">
        <v>67.3</v>
      </c>
      <c r="K83" s="2">
        <v>48</v>
      </c>
      <c r="L83" t="s">
        <v>61</v>
      </c>
      <c r="M83">
        <v>5</v>
      </c>
      <c r="N83">
        <v>1</v>
      </c>
      <c r="O83">
        <v>0</v>
      </c>
    </row>
    <row r="84" spans="1:15">
      <c r="A84" t="s">
        <v>180</v>
      </c>
      <c r="B84" s="1">
        <v>46056</v>
      </c>
      <c r="C84" t="s">
        <v>71</v>
      </c>
      <c r="D84" t="s">
        <v>106</v>
      </c>
      <c r="E84" t="s">
        <v>107</v>
      </c>
      <c r="F84" t="s">
        <v>57</v>
      </c>
      <c r="G84" t="s">
        <v>67</v>
      </c>
      <c r="H84" t="s">
        <v>86</v>
      </c>
      <c r="I84" t="s">
        <v>111</v>
      </c>
      <c r="J84" s="2">
        <v>25.4</v>
      </c>
      <c r="K84" s="2">
        <v>24</v>
      </c>
      <c r="L84" t="s">
        <v>61</v>
      </c>
      <c r="M84">
        <v>4</v>
      </c>
      <c r="N84">
        <v>1</v>
      </c>
      <c r="O84">
        <v>0</v>
      </c>
    </row>
    <row r="85" spans="1:15">
      <c r="A85" t="s">
        <v>181</v>
      </c>
      <c r="B85" s="1">
        <v>46061</v>
      </c>
      <c r="C85" t="s">
        <v>71</v>
      </c>
      <c r="D85" t="s">
        <v>72</v>
      </c>
      <c r="E85" t="s">
        <v>73</v>
      </c>
      <c r="F85" t="s">
        <v>78</v>
      </c>
      <c r="G85" t="s">
        <v>79</v>
      </c>
      <c r="H85" t="s">
        <v>92</v>
      </c>
      <c r="I85" t="s">
        <v>119</v>
      </c>
      <c r="J85" s="2">
        <v>65.900000000000006</v>
      </c>
      <c r="K85" s="2">
        <v>72</v>
      </c>
      <c r="L85" t="s">
        <v>69</v>
      </c>
      <c r="M85">
        <v>2</v>
      </c>
      <c r="N85">
        <v>1</v>
      </c>
      <c r="O85">
        <v>1</v>
      </c>
    </row>
    <row r="86" spans="1:15">
      <c r="A86" t="s">
        <v>182</v>
      </c>
      <c r="B86" s="1">
        <v>46106</v>
      </c>
      <c r="C86" t="s">
        <v>54</v>
      </c>
      <c r="D86" t="s">
        <v>94</v>
      </c>
      <c r="E86" t="s">
        <v>56</v>
      </c>
      <c r="F86" t="s">
        <v>78</v>
      </c>
      <c r="G86" t="s">
        <v>58</v>
      </c>
      <c r="H86" t="s">
        <v>59</v>
      </c>
      <c r="I86" t="s">
        <v>111</v>
      </c>
      <c r="J86" s="2">
        <v>14.3</v>
      </c>
      <c r="K86" s="2">
        <v>48</v>
      </c>
      <c r="L86" t="s">
        <v>69</v>
      </c>
      <c r="M86">
        <v>1</v>
      </c>
      <c r="N86">
        <v>1</v>
      </c>
      <c r="O86">
        <v>1</v>
      </c>
    </row>
    <row r="87" spans="1:15">
      <c r="A87" t="s">
        <v>183</v>
      </c>
      <c r="B87" s="1">
        <v>46093</v>
      </c>
      <c r="C87" t="s">
        <v>54</v>
      </c>
      <c r="D87" t="s">
        <v>96</v>
      </c>
      <c r="E87" t="s">
        <v>97</v>
      </c>
      <c r="F87" t="s">
        <v>66</v>
      </c>
      <c r="G87" t="s">
        <v>58</v>
      </c>
      <c r="H87" t="s">
        <v>86</v>
      </c>
      <c r="I87" t="s">
        <v>68</v>
      </c>
      <c r="J87" s="2">
        <v>9.3000000000000007</v>
      </c>
      <c r="K87" s="2">
        <v>24</v>
      </c>
      <c r="L87" t="s">
        <v>69</v>
      </c>
      <c r="M87">
        <v>4</v>
      </c>
      <c r="N87">
        <v>1</v>
      </c>
      <c r="O87">
        <v>1</v>
      </c>
    </row>
    <row r="88" spans="1:15">
      <c r="A88" t="s">
        <v>184</v>
      </c>
      <c r="B88" s="1">
        <v>46167</v>
      </c>
      <c r="C88" t="s">
        <v>63</v>
      </c>
      <c r="D88" t="s">
        <v>99</v>
      </c>
      <c r="E88" t="s">
        <v>100</v>
      </c>
      <c r="F88" t="s">
        <v>78</v>
      </c>
      <c r="G88" t="s">
        <v>79</v>
      </c>
      <c r="H88" t="s">
        <v>59</v>
      </c>
      <c r="I88" t="s">
        <v>119</v>
      </c>
      <c r="J88" s="2">
        <v>33</v>
      </c>
      <c r="K88" s="2">
        <v>48</v>
      </c>
      <c r="L88" t="s">
        <v>69</v>
      </c>
      <c r="M88">
        <v>3</v>
      </c>
      <c r="N88">
        <v>1</v>
      </c>
      <c r="O88">
        <v>1</v>
      </c>
    </row>
    <row r="89" spans="1:15">
      <c r="A89" t="s">
        <v>185</v>
      </c>
      <c r="B89" s="1">
        <v>46135</v>
      </c>
      <c r="C89" t="s">
        <v>82</v>
      </c>
      <c r="D89" t="s">
        <v>96</v>
      </c>
      <c r="E89" t="s">
        <v>97</v>
      </c>
      <c r="F89" t="s">
        <v>66</v>
      </c>
      <c r="G89" t="s">
        <v>75</v>
      </c>
      <c r="H89" t="s">
        <v>92</v>
      </c>
      <c r="I89" t="s">
        <v>76</v>
      </c>
      <c r="J89" s="2">
        <v>89.2</v>
      </c>
      <c r="K89" s="2">
        <v>72</v>
      </c>
      <c r="L89" t="s">
        <v>61</v>
      </c>
      <c r="M89">
        <v>4</v>
      </c>
      <c r="N89">
        <v>1</v>
      </c>
      <c r="O89">
        <v>0</v>
      </c>
    </row>
    <row r="90" spans="1:15">
      <c r="A90" t="s">
        <v>186</v>
      </c>
      <c r="B90" s="1">
        <v>46099</v>
      </c>
      <c r="C90" t="s">
        <v>54</v>
      </c>
      <c r="D90" t="s">
        <v>99</v>
      </c>
      <c r="E90" t="s">
        <v>100</v>
      </c>
      <c r="F90" t="s">
        <v>57</v>
      </c>
      <c r="G90" t="s">
        <v>75</v>
      </c>
      <c r="H90" t="s">
        <v>86</v>
      </c>
      <c r="I90" t="s">
        <v>115</v>
      </c>
      <c r="J90" s="2">
        <v>21.9</v>
      </c>
      <c r="K90" s="2">
        <v>24</v>
      </c>
      <c r="L90" t="s">
        <v>69</v>
      </c>
      <c r="M90">
        <v>5</v>
      </c>
      <c r="N90">
        <v>1</v>
      </c>
      <c r="O90">
        <v>1</v>
      </c>
    </row>
    <row r="91" spans="1:15">
      <c r="A91" t="s">
        <v>187</v>
      </c>
      <c r="B91" s="1">
        <v>46185</v>
      </c>
      <c r="C91" t="s">
        <v>104</v>
      </c>
      <c r="D91" t="s">
        <v>99</v>
      </c>
      <c r="E91" t="s">
        <v>100</v>
      </c>
      <c r="F91" t="s">
        <v>78</v>
      </c>
      <c r="G91" t="s">
        <v>58</v>
      </c>
      <c r="H91" t="s">
        <v>59</v>
      </c>
      <c r="I91" t="s">
        <v>115</v>
      </c>
      <c r="J91" s="2">
        <v>73.900000000000006</v>
      </c>
      <c r="K91" s="2">
        <v>48</v>
      </c>
      <c r="L91" t="s">
        <v>61</v>
      </c>
      <c r="M91">
        <v>5</v>
      </c>
      <c r="N91">
        <v>1</v>
      </c>
      <c r="O91">
        <v>0</v>
      </c>
    </row>
    <row r="92" spans="1:15">
      <c r="A92" t="s">
        <v>188</v>
      </c>
      <c r="B92" s="1">
        <v>46069</v>
      </c>
      <c r="C92" t="s">
        <v>71</v>
      </c>
      <c r="D92" t="s">
        <v>89</v>
      </c>
      <c r="E92" t="s">
        <v>90</v>
      </c>
      <c r="F92" t="s">
        <v>57</v>
      </c>
      <c r="G92" t="s">
        <v>75</v>
      </c>
      <c r="H92" t="s">
        <v>59</v>
      </c>
      <c r="I92" t="s">
        <v>68</v>
      </c>
      <c r="J92" s="2">
        <v>61.2</v>
      </c>
      <c r="K92" s="2">
        <v>48</v>
      </c>
      <c r="L92" t="s">
        <v>61</v>
      </c>
      <c r="M92">
        <v>5</v>
      </c>
      <c r="N92">
        <v>1</v>
      </c>
      <c r="O92">
        <v>0</v>
      </c>
    </row>
    <row r="93" spans="1:15">
      <c r="A93" t="s">
        <v>189</v>
      </c>
      <c r="B93" s="1">
        <v>46087</v>
      </c>
      <c r="C93" t="s">
        <v>54</v>
      </c>
      <c r="D93" t="s">
        <v>64</v>
      </c>
      <c r="E93" t="s">
        <v>65</v>
      </c>
      <c r="F93" t="s">
        <v>74</v>
      </c>
      <c r="G93" t="s">
        <v>79</v>
      </c>
      <c r="H93" t="s">
        <v>92</v>
      </c>
      <c r="I93" t="s">
        <v>109</v>
      </c>
      <c r="J93" s="2">
        <v>48.4</v>
      </c>
      <c r="K93" s="2">
        <v>72</v>
      </c>
      <c r="L93" t="s">
        <v>69</v>
      </c>
      <c r="M93">
        <v>3</v>
      </c>
      <c r="N93">
        <v>1</v>
      </c>
      <c r="O93">
        <v>1</v>
      </c>
    </row>
    <row r="94" spans="1:15">
      <c r="A94" t="s">
        <v>190</v>
      </c>
      <c r="B94" s="1">
        <v>46062</v>
      </c>
      <c r="C94" t="s">
        <v>71</v>
      </c>
      <c r="D94" t="s">
        <v>96</v>
      </c>
      <c r="E94" t="s">
        <v>97</v>
      </c>
      <c r="F94" t="s">
        <v>74</v>
      </c>
      <c r="G94" t="s">
        <v>79</v>
      </c>
      <c r="H94" t="s">
        <v>86</v>
      </c>
      <c r="I94" t="s">
        <v>80</v>
      </c>
      <c r="J94" s="2">
        <v>2.2000000000000002</v>
      </c>
      <c r="K94" s="2">
        <v>24</v>
      </c>
      <c r="L94" t="s">
        <v>69</v>
      </c>
      <c r="M94">
        <v>5</v>
      </c>
      <c r="N94">
        <v>1</v>
      </c>
      <c r="O94">
        <v>1</v>
      </c>
    </row>
    <row r="95" spans="1:15">
      <c r="A95" t="s">
        <v>191</v>
      </c>
      <c r="B95" s="1">
        <v>46095</v>
      </c>
      <c r="C95" t="s">
        <v>54</v>
      </c>
      <c r="D95" t="s">
        <v>89</v>
      </c>
      <c r="E95" t="s">
        <v>90</v>
      </c>
      <c r="F95" t="s">
        <v>74</v>
      </c>
      <c r="G95" t="s">
        <v>79</v>
      </c>
      <c r="H95" t="s">
        <v>59</v>
      </c>
      <c r="I95" t="s">
        <v>76</v>
      </c>
      <c r="J95" s="2">
        <v>23.8</v>
      </c>
      <c r="K95" s="2">
        <v>48</v>
      </c>
      <c r="L95" t="s">
        <v>69</v>
      </c>
      <c r="M95">
        <v>5</v>
      </c>
      <c r="N95">
        <v>1</v>
      </c>
      <c r="O95">
        <v>1</v>
      </c>
    </row>
    <row r="96" spans="1:15">
      <c r="A96" t="s">
        <v>192</v>
      </c>
      <c r="B96" s="1">
        <v>46118</v>
      </c>
      <c r="C96" t="s">
        <v>82</v>
      </c>
      <c r="D96" t="s">
        <v>89</v>
      </c>
      <c r="E96" t="s">
        <v>90</v>
      </c>
      <c r="F96" t="s">
        <v>57</v>
      </c>
      <c r="G96" t="s">
        <v>79</v>
      </c>
      <c r="H96" t="s">
        <v>86</v>
      </c>
      <c r="I96" t="s">
        <v>115</v>
      </c>
      <c r="J96" s="2">
        <v>1</v>
      </c>
      <c r="K96" s="2">
        <v>24</v>
      </c>
      <c r="L96" t="s">
        <v>69</v>
      </c>
      <c r="M96">
        <v>4</v>
      </c>
      <c r="N96">
        <v>1</v>
      </c>
      <c r="O96">
        <v>1</v>
      </c>
    </row>
    <row r="97" spans="1:15">
      <c r="A97" t="s">
        <v>193</v>
      </c>
      <c r="B97" s="1">
        <v>46191</v>
      </c>
      <c r="C97" t="s">
        <v>104</v>
      </c>
      <c r="D97" t="s">
        <v>89</v>
      </c>
      <c r="E97" t="s">
        <v>90</v>
      </c>
      <c r="F97" t="s">
        <v>74</v>
      </c>
      <c r="G97" t="s">
        <v>67</v>
      </c>
      <c r="H97" t="s">
        <v>59</v>
      </c>
      <c r="I97" t="s">
        <v>83</v>
      </c>
      <c r="J97" s="2">
        <v>36.5</v>
      </c>
      <c r="K97" s="2">
        <v>48</v>
      </c>
      <c r="L97" t="s">
        <v>69</v>
      </c>
      <c r="M97">
        <v>4</v>
      </c>
      <c r="N97">
        <v>1</v>
      </c>
      <c r="O97">
        <v>1</v>
      </c>
    </row>
    <row r="98" spans="1:15">
      <c r="A98" t="s">
        <v>194</v>
      </c>
      <c r="B98" s="1">
        <v>46028</v>
      </c>
      <c r="C98" t="s">
        <v>85</v>
      </c>
      <c r="D98" t="s">
        <v>89</v>
      </c>
      <c r="E98" t="s">
        <v>90</v>
      </c>
      <c r="F98" t="s">
        <v>78</v>
      </c>
      <c r="G98" t="s">
        <v>79</v>
      </c>
      <c r="H98" t="s">
        <v>92</v>
      </c>
      <c r="I98" t="s">
        <v>83</v>
      </c>
      <c r="J98" s="2">
        <v>13.1</v>
      </c>
      <c r="K98" s="2">
        <v>72</v>
      </c>
      <c r="L98" t="s">
        <v>69</v>
      </c>
      <c r="M98">
        <v>5</v>
      </c>
      <c r="N98">
        <v>1</v>
      </c>
      <c r="O98">
        <v>1</v>
      </c>
    </row>
    <row r="99" spans="1:15">
      <c r="A99" t="s">
        <v>195</v>
      </c>
      <c r="B99" s="1">
        <v>46109</v>
      </c>
      <c r="C99" t="s">
        <v>54</v>
      </c>
      <c r="D99" t="s">
        <v>99</v>
      </c>
      <c r="E99" t="s">
        <v>100</v>
      </c>
      <c r="F99" t="s">
        <v>66</v>
      </c>
      <c r="G99" t="s">
        <v>79</v>
      </c>
      <c r="H99" t="s">
        <v>59</v>
      </c>
      <c r="I99" t="s">
        <v>76</v>
      </c>
      <c r="J99" s="2">
        <v>55.2</v>
      </c>
      <c r="K99" s="2">
        <v>48</v>
      </c>
      <c r="L99" t="s">
        <v>61</v>
      </c>
      <c r="M99">
        <v>1</v>
      </c>
      <c r="N99">
        <v>1</v>
      </c>
      <c r="O99">
        <v>0</v>
      </c>
    </row>
    <row r="100" spans="1:15">
      <c r="A100" t="s">
        <v>196</v>
      </c>
      <c r="B100" s="1">
        <v>46062</v>
      </c>
      <c r="C100" t="s">
        <v>71</v>
      </c>
      <c r="D100" t="s">
        <v>96</v>
      </c>
      <c r="E100" t="s">
        <v>97</v>
      </c>
      <c r="F100" t="s">
        <v>57</v>
      </c>
      <c r="G100" t="s">
        <v>79</v>
      </c>
      <c r="H100" t="s">
        <v>92</v>
      </c>
      <c r="I100" t="s">
        <v>115</v>
      </c>
      <c r="J100" s="2">
        <v>113.7</v>
      </c>
      <c r="K100" s="2">
        <v>72</v>
      </c>
      <c r="L100" t="s">
        <v>61</v>
      </c>
      <c r="M100">
        <v>5</v>
      </c>
      <c r="N100">
        <v>1</v>
      </c>
      <c r="O100">
        <v>0</v>
      </c>
    </row>
    <row r="101" spans="1:15">
      <c r="A101" t="s">
        <v>197</v>
      </c>
      <c r="B101" s="1">
        <v>46068</v>
      </c>
      <c r="C101" t="s">
        <v>71</v>
      </c>
      <c r="D101" t="s">
        <v>94</v>
      </c>
      <c r="E101" t="s">
        <v>56</v>
      </c>
      <c r="F101" t="s">
        <v>74</v>
      </c>
      <c r="G101" t="s">
        <v>79</v>
      </c>
      <c r="H101" t="s">
        <v>59</v>
      </c>
      <c r="I101" t="s">
        <v>80</v>
      </c>
      <c r="J101" s="2">
        <v>7.4</v>
      </c>
      <c r="K101" s="2">
        <v>48</v>
      </c>
      <c r="L101" t="s">
        <v>69</v>
      </c>
      <c r="M101">
        <v>4</v>
      </c>
      <c r="N101">
        <v>1</v>
      </c>
      <c r="O101">
        <v>1</v>
      </c>
    </row>
    <row r="102" spans="1:15">
      <c r="A102" t="s">
        <v>198</v>
      </c>
      <c r="B102" s="1">
        <v>46144</v>
      </c>
      <c r="C102" t="s">
        <v>63</v>
      </c>
      <c r="D102" t="s">
        <v>99</v>
      </c>
      <c r="E102" t="s">
        <v>100</v>
      </c>
      <c r="F102" t="s">
        <v>74</v>
      </c>
      <c r="G102" t="s">
        <v>58</v>
      </c>
      <c r="H102" t="s">
        <v>86</v>
      </c>
      <c r="I102" t="s">
        <v>76</v>
      </c>
      <c r="J102" s="2">
        <v>8.8000000000000007</v>
      </c>
      <c r="K102" s="2">
        <v>24</v>
      </c>
      <c r="L102" t="s">
        <v>69</v>
      </c>
      <c r="M102">
        <v>4</v>
      </c>
      <c r="N102">
        <v>1</v>
      </c>
      <c r="O102">
        <v>1</v>
      </c>
    </row>
    <row r="103" spans="1:15">
      <c r="A103" t="s">
        <v>199</v>
      </c>
      <c r="B103" s="1">
        <v>46155</v>
      </c>
      <c r="C103" t="s">
        <v>63</v>
      </c>
      <c r="D103" t="s">
        <v>99</v>
      </c>
      <c r="E103" t="s">
        <v>100</v>
      </c>
      <c r="F103" t="s">
        <v>57</v>
      </c>
      <c r="G103" t="s">
        <v>75</v>
      </c>
      <c r="H103" t="s">
        <v>86</v>
      </c>
      <c r="I103" t="s">
        <v>115</v>
      </c>
      <c r="J103" s="2">
        <v>4.0999999999999996</v>
      </c>
      <c r="K103" s="2">
        <v>24</v>
      </c>
      <c r="L103" t="s">
        <v>69</v>
      </c>
      <c r="M103">
        <v>4</v>
      </c>
      <c r="N103">
        <v>1</v>
      </c>
      <c r="O103">
        <v>1</v>
      </c>
    </row>
    <row r="104" spans="1:15">
      <c r="A104" t="s">
        <v>200</v>
      </c>
      <c r="B104" s="1">
        <v>46196</v>
      </c>
      <c r="C104" t="s">
        <v>104</v>
      </c>
      <c r="D104" t="s">
        <v>94</v>
      </c>
      <c r="E104" t="s">
        <v>56</v>
      </c>
      <c r="F104" t="s">
        <v>57</v>
      </c>
      <c r="G104" t="s">
        <v>75</v>
      </c>
      <c r="H104" t="s">
        <v>59</v>
      </c>
      <c r="I104" t="s">
        <v>83</v>
      </c>
      <c r="J104" s="2">
        <v>52.6</v>
      </c>
      <c r="K104" s="2">
        <v>48</v>
      </c>
      <c r="L104" t="s">
        <v>61</v>
      </c>
      <c r="M104">
        <v>2</v>
      </c>
      <c r="N104">
        <v>1</v>
      </c>
      <c r="O104">
        <v>0</v>
      </c>
    </row>
    <row r="105" spans="1:15">
      <c r="A105" t="s">
        <v>201</v>
      </c>
      <c r="B105" s="1">
        <v>46058</v>
      </c>
      <c r="C105" t="s">
        <v>71</v>
      </c>
      <c r="D105" t="s">
        <v>96</v>
      </c>
      <c r="E105" t="s">
        <v>97</v>
      </c>
      <c r="F105" t="s">
        <v>78</v>
      </c>
      <c r="G105" t="s">
        <v>79</v>
      </c>
      <c r="H105" t="s">
        <v>59</v>
      </c>
      <c r="I105" t="s">
        <v>68</v>
      </c>
      <c r="J105" s="2">
        <v>76.099999999999994</v>
      </c>
      <c r="K105" s="2">
        <v>48</v>
      </c>
      <c r="L105" t="s">
        <v>61</v>
      </c>
      <c r="M105">
        <v>2</v>
      </c>
      <c r="N105">
        <v>1</v>
      </c>
      <c r="O105">
        <v>0</v>
      </c>
    </row>
    <row r="106" spans="1:15">
      <c r="A106" t="s">
        <v>202</v>
      </c>
      <c r="B106" s="1">
        <v>46033</v>
      </c>
      <c r="C106" t="s">
        <v>85</v>
      </c>
      <c r="D106" t="s">
        <v>94</v>
      </c>
      <c r="E106" t="s">
        <v>56</v>
      </c>
      <c r="F106" t="s">
        <v>78</v>
      </c>
      <c r="G106" t="s">
        <v>75</v>
      </c>
      <c r="H106" t="s">
        <v>59</v>
      </c>
      <c r="I106" t="s">
        <v>111</v>
      </c>
      <c r="J106" s="2">
        <v>3.8</v>
      </c>
      <c r="K106" s="2">
        <v>48</v>
      </c>
      <c r="L106" t="s">
        <v>69</v>
      </c>
      <c r="M106">
        <v>5</v>
      </c>
      <c r="N106">
        <v>1</v>
      </c>
      <c r="O106">
        <v>1</v>
      </c>
    </row>
    <row r="107" spans="1:15">
      <c r="A107" t="s">
        <v>203</v>
      </c>
      <c r="B107" s="1">
        <v>46137</v>
      </c>
      <c r="C107" t="s">
        <v>82</v>
      </c>
      <c r="D107" t="s">
        <v>89</v>
      </c>
      <c r="E107" t="s">
        <v>90</v>
      </c>
      <c r="F107" t="s">
        <v>57</v>
      </c>
      <c r="G107" t="s">
        <v>58</v>
      </c>
      <c r="H107" t="s">
        <v>59</v>
      </c>
      <c r="I107" t="s">
        <v>76</v>
      </c>
      <c r="J107" s="2">
        <v>54.1</v>
      </c>
      <c r="K107" s="2">
        <v>48</v>
      </c>
      <c r="L107" t="s">
        <v>61</v>
      </c>
      <c r="M107">
        <v>2</v>
      </c>
      <c r="N107">
        <v>1</v>
      </c>
      <c r="O107">
        <v>0</v>
      </c>
    </row>
    <row r="108" spans="1:15">
      <c r="A108" t="s">
        <v>204</v>
      </c>
      <c r="B108" s="1">
        <v>46118</v>
      </c>
      <c r="C108" t="s">
        <v>82</v>
      </c>
      <c r="D108" t="s">
        <v>89</v>
      </c>
      <c r="E108" t="s">
        <v>90</v>
      </c>
      <c r="F108" t="s">
        <v>78</v>
      </c>
      <c r="G108" t="s">
        <v>75</v>
      </c>
      <c r="H108" t="s">
        <v>92</v>
      </c>
      <c r="I108" t="s">
        <v>68</v>
      </c>
      <c r="J108" s="2">
        <v>65.7</v>
      </c>
      <c r="K108" s="2">
        <v>72</v>
      </c>
      <c r="L108" t="s">
        <v>69</v>
      </c>
      <c r="M108">
        <v>4</v>
      </c>
      <c r="N108">
        <v>1</v>
      </c>
      <c r="O108">
        <v>1</v>
      </c>
    </row>
    <row r="109" spans="1:15">
      <c r="A109" t="s">
        <v>205</v>
      </c>
      <c r="B109" s="1">
        <v>46093</v>
      </c>
      <c r="C109" t="s">
        <v>54</v>
      </c>
      <c r="D109" t="s">
        <v>72</v>
      </c>
      <c r="E109" t="s">
        <v>73</v>
      </c>
      <c r="F109" t="s">
        <v>57</v>
      </c>
      <c r="G109" t="s">
        <v>79</v>
      </c>
      <c r="H109" t="s">
        <v>59</v>
      </c>
      <c r="I109" t="s">
        <v>87</v>
      </c>
      <c r="J109" s="2">
        <v>46.2</v>
      </c>
      <c r="K109" s="2">
        <v>48</v>
      </c>
      <c r="L109" t="s">
        <v>69</v>
      </c>
      <c r="M109">
        <v>5</v>
      </c>
      <c r="N109">
        <v>1</v>
      </c>
      <c r="O109">
        <v>1</v>
      </c>
    </row>
    <row r="110" spans="1:15">
      <c r="A110" t="s">
        <v>206</v>
      </c>
      <c r="B110" s="1">
        <v>46107</v>
      </c>
      <c r="C110" t="s">
        <v>54</v>
      </c>
      <c r="D110" t="s">
        <v>106</v>
      </c>
      <c r="E110" t="s">
        <v>107</v>
      </c>
      <c r="F110" t="s">
        <v>57</v>
      </c>
      <c r="G110" t="s">
        <v>79</v>
      </c>
      <c r="H110" t="s">
        <v>59</v>
      </c>
      <c r="I110" t="s">
        <v>76</v>
      </c>
      <c r="J110" s="2">
        <v>3.5</v>
      </c>
      <c r="K110" s="2">
        <v>48</v>
      </c>
      <c r="L110" t="s">
        <v>69</v>
      </c>
      <c r="M110">
        <v>3</v>
      </c>
      <c r="N110">
        <v>1</v>
      </c>
      <c r="O110">
        <v>1</v>
      </c>
    </row>
    <row r="111" spans="1:15">
      <c r="A111" t="s">
        <v>207</v>
      </c>
      <c r="B111" s="1">
        <v>46079</v>
      </c>
      <c r="C111" t="s">
        <v>71</v>
      </c>
      <c r="D111" t="s">
        <v>72</v>
      </c>
      <c r="E111" t="s">
        <v>73</v>
      </c>
      <c r="F111" t="s">
        <v>74</v>
      </c>
      <c r="G111" t="s">
        <v>79</v>
      </c>
      <c r="H111" t="s">
        <v>59</v>
      </c>
      <c r="I111" t="s">
        <v>76</v>
      </c>
      <c r="J111" s="2">
        <v>17.600000000000001</v>
      </c>
      <c r="K111" s="2">
        <v>48</v>
      </c>
      <c r="L111" t="s">
        <v>69</v>
      </c>
      <c r="M111">
        <v>3</v>
      </c>
      <c r="N111">
        <v>1</v>
      </c>
      <c r="O111">
        <v>1</v>
      </c>
    </row>
    <row r="112" spans="1:15">
      <c r="A112" t="s">
        <v>208</v>
      </c>
      <c r="B112" s="1">
        <v>46078</v>
      </c>
      <c r="C112" t="s">
        <v>71</v>
      </c>
      <c r="D112" t="s">
        <v>72</v>
      </c>
      <c r="E112" t="s">
        <v>73</v>
      </c>
      <c r="F112" t="s">
        <v>57</v>
      </c>
      <c r="G112" t="s">
        <v>58</v>
      </c>
      <c r="H112" t="s">
        <v>121</v>
      </c>
      <c r="I112" t="s">
        <v>115</v>
      </c>
      <c r="J112" s="2">
        <v>9.3000000000000007</v>
      </c>
      <c r="K112" s="2">
        <v>8</v>
      </c>
      <c r="L112" t="s">
        <v>61</v>
      </c>
      <c r="M112">
        <v>4</v>
      </c>
      <c r="N112">
        <v>1</v>
      </c>
      <c r="O112">
        <v>0</v>
      </c>
    </row>
    <row r="113" spans="1:15">
      <c r="A113" t="s">
        <v>209</v>
      </c>
      <c r="B113" s="1">
        <v>46096</v>
      </c>
      <c r="C113" t="s">
        <v>54</v>
      </c>
      <c r="D113" t="s">
        <v>106</v>
      </c>
      <c r="E113" t="s">
        <v>107</v>
      </c>
      <c r="F113" t="s">
        <v>74</v>
      </c>
      <c r="G113" t="s">
        <v>58</v>
      </c>
      <c r="H113" t="s">
        <v>59</v>
      </c>
      <c r="I113" t="s">
        <v>115</v>
      </c>
      <c r="J113" s="2">
        <v>47.8</v>
      </c>
      <c r="K113" s="2">
        <v>48</v>
      </c>
      <c r="L113" t="s">
        <v>69</v>
      </c>
      <c r="M113">
        <v>4</v>
      </c>
      <c r="N113">
        <v>1</v>
      </c>
      <c r="O113">
        <v>1</v>
      </c>
    </row>
    <row r="114" spans="1:15">
      <c r="A114" t="s">
        <v>210</v>
      </c>
      <c r="B114" s="1">
        <v>46034</v>
      </c>
      <c r="C114" t="s">
        <v>85</v>
      </c>
      <c r="D114" t="s">
        <v>99</v>
      </c>
      <c r="E114" t="s">
        <v>100</v>
      </c>
      <c r="F114" t="s">
        <v>74</v>
      </c>
      <c r="G114" t="s">
        <v>75</v>
      </c>
      <c r="H114" t="s">
        <v>59</v>
      </c>
      <c r="I114" t="s">
        <v>83</v>
      </c>
      <c r="J114" s="2">
        <v>52.9</v>
      </c>
      <c r="K114" s="2">
        <v>48</v>
      </c>
      <c r="L114" t="s">
        <v>61</v>
      </c>
      <c r="M114">
        <v>4</v>
      </c>
      <c r="N114">
        <v>1</v>
      </c>
      <c r="O114">
        <v>0</v>
      </c>
    </row>
    <row r="115" spans="1:15">
      <c r="A115" t="s">
        <v>211</v>
      </c>
      <c r="B115" s="1">
        <v>46078</v>
      </c>
      <c r="C115" t="s">
        <v>71</v>
      </c>
      <c r="D115" t="s">
        <v>89</v>
      </c>
      <c r="E115" t="s">
        <v>90</v>
      </c>
      <c r="F115" t="s">
        <v>57</v>
      </c>
      <c r="G115" t="s">
        <v>58</v>
      </c>
      <c r="H115" t="s">
        <v>92</v>
      </c>
      <c r="I115" t="s">
        <v>109</v>
      </c>
      <c r="J115" s="2">
        <v>104.9</v>
      </c>
      <c r="K115" s="2">
        <v>72</v>
      </c>
      <c r="L115" t="s">
        <v>61</v>
      </c>
      <c r="M115">
        <v>3</v>
      </c>
      <c r="N115">
        <v>1</v>
      </c>
      <c r="O115">
        <v>0</v>
      </c>
    </row>
    <row r="116" spans="1:15">
      <c r="A116" t="s">
        <v>212</v>
      </c>
      <c r="B116" s="1">
        <v>46058</v>
      </c>
      <c r="C116" t="s">
        <v>71</v>
      </c>
      <c r="D116" t="s">
        <v>106</v>
      </c>
      <c r="E116" t="s">
        <v>107</v>
      </c>
      <c r="F116" t="s">
        <v>74</v>
      </c>
      <c r="G116" t="s">
        <v>58</v>
      </c>
      <c r="H116" t="s">
        <v>121</v>
      </c>
      <c r="I116" t="s">
        <v>109</v>
      </c>
      <c r="J116" s="2">
        <v>7.6</v>
      </c>
      <c r="K116" s="2">
        <v>8</v>
      </c>
      <c r="L116" t="s">
        <v>69</v>
      </c>
      <c r="M116">
        <v>4</v>
      </c>
      <c r="N116">
        <v>1</v>
      </c>
      <c r="O116">
        <v>1</v>
      </c>
    </row>
    <row r="117" spans="1:15">
      <c r="A117" t="s">
        <v>213</v>
      </c>
      <c r="B117" s="1">
        <v>46111</v>
      </c>
      <c r="C117" t="s">
        <v>54</v>
      </c>
      <c r="D117" t="s">
        <v>106</v>
      </c>
      <c r="E117" t="s">
        <v>107</v>
      </c>
      <c r="F117" t="s">
        <v>57</v>
      </c>
      <c r="G117" t="s">
        <v>67</v>
      </c>
      <c r="H117" t="s">
        <v>59</v>
      </c>
      <c r="I117" t="s">
        <v>119</v>
      </c>
      <c r="J117" s="2">
        <v>72.900000000000006</v>
      </c>
      <c r="K117" s="2">
        <v>48</v>
      </c>
      <c r="L117" t="s">
        <v>61</v>
      </c>
      <c r="M117">
        <v>4</v>
      </c>
      <c r="N117">
        <v>1</v>
      </c>
      <c r="O117">
        <v>0</v>
      </c>
    </row>
    <row r="118" spans="1:15">
      <c r="A118" t="s">
        <v>214</v>
      </c>
      <c r="B118" s="1">
        <v>46069</v>
      </c>
      <c r="C118" t="s">
        <v>71</v>
      </c>
      <c r="D118" t="s">
        <v>96</v>
      </c>
      <c r="E118" t="s">
        <v>97</v>
      </c>
      <c r="F118" t="s">
        <v>66</v>
      </c>
      <c r="G118" t="s">
        <v>58</v>
      </c>
      <c r="H118" t="s">
        <v>59</v>
      </c>
      <c r="I118" t="s">
        <v>60</v>
      </c>
      <c r="J118" s="2">
        <v>8.1999999999999993</v>
      </c>
      <c r="K118" s="2">
        <v>48</v>
      </c>
      <c r="L118" t="s">
        <v>69</v>
      </c>
      <c r="M118">
        <v>4</v>
      </c>
      <c r="N118">
        <v>1</v>
      </c>
      <c r="O118">
        <v>1</v>
      </c>
    </row>
    <row r="119" spans="1:15">
      <c r="A119" t="s">
        <v>215</v>
      </c>
      <c r="B119" s="1">
        <v>46098</v>
      </c>
      <c r="C119" t="s">
        <v>54</v>
      </c>
      <c r="D119" t="s">
        <v>64</v>
      </c>
      <c r="E119" t="s">
        <v>65</v>
      </c>
      <c r="F119" t="s">
        <v>78</v>
      </c>
      <c r="G119" t="s">
        <v>79</v>
      </c>
      <c r="H119" t="s">
        <v>92</v>
      </c>
      <c r="I119" t="s">
        <v>83</v>
      </c>
      <c r="J119" s="2">
        <v>15.3</v>
      </c>
      <c r="K119" s="2">
        <v>72</v>
      </c>
      <c r="L119" t="s">
        <v>69</v>
      </c>
      <c r="M119">
        <v>2</v>
      </c>
      <c r="N119">
        <v>1</v>
      </c>
      <c r="O119">
        <v>1</v>
      </c>
    </row>
    <row r="120" spans="1:15">
      <c r="A120" t="s">
        <v>216</v>
      </c>
      <c r="B120" s="1">
        <v>46149</v>
      </c>
      <c r="C120" t="s">
        <v>63</v>
      </c>
      <c r="D120" t="s">
        <v>94</v>
      </c>
      <c r="E120" t="s">
        <v>56</v>
      </c>
      <c r="F120" t="s">
        <v>74</v>
      </c>
      <c r="G120" t="s">
        <v>75</v>
      </c>
      <c r="H120" t="s">
        <v>59</v>
      </c>
      <c r="I120" t="s">
        <v>111</v>
      </c>
      <c r="J120" s="2">
        <v>72.400000000000006</v>
      </c>
      <c r="K120" s="2">
        <v>48</v>
      </c>
      <c r="L120" t="s">
        <v>61</v>
      </c>
      <c r="M120">
        <v>5</v>
      </c>
      <c r="N120">
        <v>1</v>
      </c>
      <c r="O120">
        <v>0</v>
      </c>
    </row>
    <row r="121" spans="1:15">
      <c r="A121" t="s">
        <v>217</v>
      </c>
      <c r="B121" s="1">
        <v>46179</v>
      </c>
      <c r="C121" t="s">
        <v>104</v>
      </c>
      <c r="D121" t="s">
        <v>64</v>
      </c>
      <c r="E121" t="s">
        <v>65</v>
      </c>
      <c r="F121" t="s">
        <v>66</v>
      </c>
      <c r="G121" t="s">
        <v>58</v>
      </c>
      <c r="H121" t="s">
        <v>86</v>
      </c>
      <c r="I121" t="s">
        <v>60</v>
      </c>
      <c r="J121" s="2">
        <v>31.6</v>
      </c>
      <c r="K121" s="2">
        <v>24</v>
      </c>
      <c r="L121" t="s">
        <v>61</v>
      </c>
      <c r="M121">
        <v>5</v>
      </c>
      <c r="N121">
        <v>1</v>
      </c>
      <c r="O121">
        <v>0</v>
      </c>
    </row>
    <row r="122" spans="1:15">
      <c r="A122" t="s">
        <v>218</v>
      </c>
      <c r="B122" s="1">
        <v>46047</v>
      </c>
      <c r="C122" t="s">
        <v>85</v>
      </c>
      <c r="D122" t="s">
        <v>64</v>
      </c>
      <c r="E122" t="s">
        <v>65</v>
      </c>
      <c r="F122" t="s">
        <v>57</v>
      </c>
      <c r="G122" t="s">
        <v>58</v>
      </c>
      <c r="H122" t="s">
        <v>59</v>
      </c>
      <c r="I122" t="s">
        <v>119</v>
      </c>
      <c r="J122" s="2">
        <v>6.9</v>
      </c>
      <c r="K122" s="2">
        <v>48</v>
      </c>
      <c r="L122" t="s">
        <v>69</v>
      </c>
      <c r="M122">
        <v>5</v>
      </c>
      <c r="N122">
        <v>1</v>
      </c>
      <c r="O122">
        <v>1</v>
      </c>
    </row>
    <row r="123" spans="1:15">
      <c r="A123" t="s">
        <v>219</v>
      </c>
      <c r="B123" s="1">
        <v>46180</v>
      </c>
      <c r="C123" t="s">
        <v>104</v>
      </c>
      <c r="D123" t="s">
        <v>55</v>
      </c>
      <c r="E123" t="s">
        <v>56</v>
      </c>
      <c r="F123" t="s">
        <v>57</v>
      </c>
      <c r="G123" t="s">
        <v>75</v>
      </c>
      <c r="H123" t="s">
        <v>59</v>
      </c>
      <c r="I123" t="s">
        <v>115</v>
      </c>
      <c r="J123" s="2">
        <v>2.7</v>
      </c>
      <c r="K123" s="2">
        <v>48</v>
      </c>
      <c r="L123" t="s">
        <v>69</v>
      </c>
      <c r="M123">
        <v>2</v>
      </c>
      <c r="N123">
        <v>1</v>
      </c>
      <c r="O123">
        <v>1</v>
      </c>
    </row>
    <row r="124" spans="1:15">
      <c r="A124" t="s">
        <v>220</v>
      </c>
      <c r="B124" s="1">
        <v>46069</v>
      </c>
      <c r="C124" t="s">
        <v>71</v>
      </c>
      <c r="D124" t="s">
        <v>72</v>
      </c>
      <c r="E124" t="s">
        <v>73</v>
      </c>
      <c r="F124" t="s">
        <v>57</v>
      </c>
      <c r="G124" t="s">
        <v>75</v>
      </c>
      <c r="H124" t="s">
        <v>92</v>
      </c>
      <c r="I124" t="s">
        <v>109</v>
      </c>
      <c r="J124" s="2">
        <v>30.2</v>
      </c>
      <c r="K124" s="2">
        <v>72</v>
      </c>
      <c r="L124" t="s">
        <v>69</v>
      </c>
      <c r="M124">
        <v>4</v>
      </c>
      <c r="N124">
        <v>1</v>
      </c>
      <c r="O124">
        <v>1</v>
      </c>
    </row>
    <row r="125" spans="1:15">
      <c r="A125" t="s">
        <v>221</v>
      </c>
      <c r="B125" s="1">
        <v>46132</v>
      </c>
      <c r="C125" t="s">
        <v>82</v>
      </c>
      <c r="D125" t="s">
        <v>72</v>
      </c>
      <c r="E125" t="s">
        <v>73</v>
      </c>
      <c r="F125" t="s">
        <v>57</v>
      </c>
      <c r="G125" t="s">
        <v>79</v>
      </c>
      <c r="H125" t="s">
        <v>86</v>
      </c>
      <c r="I125" t="s">
        <v>80</v>
      </c>
      <c r="J125" s="2">
        <v>14.8</v>
      </c>
      <c r="K125" s="2">
        <v>24</v>
      </c>
      <c r="L125" t="s">
        <v>69</v>
      </c>
      <c r="M125">
        <v>4</v>
      </c>
      <c r="N125">
        <v>1</v>
      </c>
      <c r="O125">
        <v>1</v>
      </c>
    </row>
    <row r="126" spans="1:15">
      <c r="A126" t="s">
        <v>222</v>
      </c>
      <c r="B126" s="1">
        <v>46200</v>
      </c>
      <c r="C126" t="s">
        <v>104</v>
      </c>
      <c r="D126" t="s">
        <v>64</v>
      </c>
      <c r="E126" t="s">
        <v>65</v>
      </c>
      <c r="F126" t="s">
        <v>66</v>
      </c>
      <c r="G126" t="s">
        <v>75</v>
      </c>
      <c r="H126" t="s">
        <v>59</v>
      </c>
      <c r="I126" t="s">
        <v>68</v>
      </c>
      <c r="J126" s="2">
        <v>60.6</v>
      </c>
      <c r="K126" s="2">
        <v>48</v>
      </c>
      <c r="L126" t="s">
        <v>61</v>
      </c>
      <c r="M126">
        <v>3</v>
      </c>
      <c r="N126">
        <v>1</v>
      </c>
      <c r="O126">
        <v>0</v>
      </c>
    </row>
    <row r="127" spans="1:15">
      <c r="A127" t="s">
        <v>223</v>
      </c>
      <c r="B127" s="1">
        <v>46091</v>
      </c>
      <c r="C127" t="s">
        <v>54</v>
      </c>
      <c r="D127" t="s">
        <v>72</v>
      </c>
      <c r="E127" t="s">
        <v>73</v>
      </c>
      <c r="F127" t="s">
        <v>78</v>
      </c>
      <c r="G127" t="s">
        <v>75</v>
      </c>
      <c r="H127" t="s">
        <v>59</v>
      </c>
      <c r="I127" t="s">
        <v>83</v>
      </c>
      <c r="J127" s="2">
        <v>76.400000000000006</v>
      </c>
      <c r="K127" s="2">
        <v>48</v>
      </c>
      <c r="L127" t="s">
        <v>61</v>
      </c>
      <c r="M127">
        <v>3</v>
      </c>
      <c r="N127">
        <v>1</v>
      </c>
      <c r="O127">
        <v>0</v>
      </c>
    </row>
    <row r="128" spans="1:15">
      <c r="A128" t="s">
        <v>224</v>
      </c>
      <c r="B128" s="1">
        <v>46027</v>
      </c>
      <c r="C128" t="s">
        <v>85</v>
      </c>
      <c r="D128" t="s">
        <v>89</v>
      </c>
      <c r="E128" t="s">
        <v>90</v>
      </c>
      <c r="F128" t="s">
        <v>78</v>
      </c>
      <c r="G128" t="s">
        <v>79</v>
      </c>
      <c r="H128" t="s">
        <v>92</v>
      </c>
      <c r="I128" t="s">
        <v>83</v>
      </c>
      <c r="J128" s="2">
        <v>20.7</v>
      </c>
      <c r="K128" s="2">
        <v>72</v>
      </c>
      <c r="L128" t="s">
        <v>69</v>
      </c>
      <c r="M128">
        <v>4</v>
      </c>
      <c r="N128">
        <v>1</v>
      </c>
      <c r="O128">
        <v>1</v>
      </c>
    </row>
    <row r="129" spans="1:15">
      <c r="A129" t="s">
        <v>225</v>
      </c>
      <c r="B129" s="1">
        <v>46076</v>
      </c>
      <c r="C129" t="s">
        <v>71</v>
      </c>
      <c r="D129" t="s">
        <v>72</v>
      </c>
      <c r="E129" t="s">
        <v>73</v>
      </c>
      <c r="F129" t="s">
        <v>57</v>
      </c>
      <c r="G129" t="s">
        <v>79</v>
      </c>
      <c r="H129" t="s">
        <v>86</v>
      </c>
      <c r="I129" t="s">
        <v>83</v>
      </c>
      <c r="J129" s="2">
        <v>22.4</v>
      </c>
      <c r="K129" s="2">
        <v>24</v>
      </c>
      <c r="L129" t="s">
        <v>69</v>
      </c>
      <c r="M129">
        <v>2</v>
      </c>
      <c r="N129">
        <v>1</v>
      </c>
      <c r="O129">
        <v>1</v>
      </c>
    </row>
    <row r="130" spans="1:15">
      <c r="A130" t="s">
        <v>226</v>
      </c>
      <c r="B130" s="1">
        <v>46038</v>
      </c>
      <c r="C130" t="s">
        <v>85</v>
      </c>
      <c r="D130" t="s">
        <v>94</v>
      </c>
      <c r="E130" t="s">
        <v>56</v>
      </c>
      <c r="F130" t="s">
        <v>74</v>
      </c>
      <c r="G130" t="s">
        <v>79</v>
      </c>
      <c r="H130" t="s">
        <v>86</v>
      </c>
      <c r="I130" t="s">
        <v>119</v>
      </c>
      <c r="J130" s="2">
        <v>21</v>
      </c>
      <c r="K130" s="2">
        <v>24</v>
      </c>
      <c r="L130" t="s">
        <v>69</v>
      </c>
      <c r="M130">
        <v>5</v>
      </c>
      <c r="N130">
        <v>1</v>
      </c>
      <c r="O130">
        <v>1</v>
      </c>
    </row>
    <row r="131" spans="1:15">
      <c r="A131" t="s">
        <v>227</v>
      </c>
      <c r="B131" s="1">
        <v>46115</v>
      </c>
      <c r="C131" t="s">
        <v>82</v>
      </c>
      <c r="D131" t="s">
        <v>99</v>
      </c>
      <c r="E131" t="s">
        <v>100</v>
      </c>
      <c r="F131" t="s">
        <v>57</v>
      </c>
      <c r="G131" t="s">
        <v>75</v>
      </c>
      <c r="H131" t="s">
        <v>121</v>
      </c>
      <c r="I131" t="s">
        <v>68</v>
      </c>
      <c r="J131" s="2">
        <v>6</v>
      </c>
      <c r="K131" s="2">
        <v>8</v>
      </c>
      <c r="L131" t="s">
        <v>69</v>
      </c>
      <c r="M131">
        <v>3</v>
      </c>
      <c r="N131">
        <v>1</v>
      </c>
      <c r="O131">
        <v>1</v>
      </c>
    </row>
    <row r="132" spans="1:15">
      <c r="A132" t="s">
        <v>228</v>
      </c>
      <c r="B132" s="1">
        <v>46066</v>
      </c>
      <c r="C132" t="s">
        <v>71</v>
      </c>
      <c r="D132" t="s">
        <v>96</v>
      </c>
      <c r="E132" t="s">
        <v>97</v>
      </c>
      <c r="F132" t="s">
        <v>74</v>
      </c>
      <c r="G132" t="s">
        <v>58</v>
      </c>
      <c r="H132" t="s">
        <v>92</v>
      </c>
      <c r="I132" t="s">
        <v>87</v>
      </c>
      <c r="J132" s="2">
        <v>49.4</v>
      </c>
      <c r="K132" s="2">
        <v>72</v>
      </c>
      <c r="L132" t="s">
        <v>69</v>
      </c>
      <c r="M132">
        <v>5</v>
      </c>
      <c r="N132">
        <v>1</v>
      </c>
      <c r="O132">
        <v>1</v>
      </c>
    </row>
    <row r="133" spans="1:15">
      <c r="A133" t="s">
        <v>229</v>
      </c>
      <c r="B133" s="1">
        <v>46047</v>
      </c>
      <c r="C133" t="s">
        <v>85</v>
      </c>
      <c r="D133" t="s">
        <v>99</v>
      </c>
      <c r="E133" t="s">
        <v>100</v>
      </c>
      <c r="F133" t="s">
        <v>57</v>
      </c>
      <c r="G133" t="s">
        <v>67</v>
      </c>
      <c r="H133" t="s">
        <v>59</v>
      </c>
      <c r="I133" t="s">
        <v>83</v>
      </c>
      <c r="J133" s="2">
        <v>28.2</v>
      </c>
      <c r="K133" s="2">
        <v>48</v>
      </c>
      <c r="L133" t="s">
        <v>69</v>
      </c>
      <c r="M133">
        <v>4</v>
      </c>
      <c r="N133">
        <v>1</v>
      </c>
      <c r="O133">
        <v>1</v>
      </c>
    </row>
    <row r="134" spans="1:15">
      <c r="A134" t="s">
        <v>230</v>
      </c>
      <c r="B134" s="1">
        <v>46176</v>
      </c>
      <c r="C134" t="s">
        <v>104</v>
      </c>
      <c r="D134" t="s">
        <v>72</v>
      </c>
      <c r="E134" t="s">
        <v>73</v>
      </c>
      <c r="F134" t="s">
        <v>57</v>
      </c>
      <c r="G134" t="s">
        <v>79</v>
      </c>
      <c r="H134" t="s">
        <v>121</v>
      </c>
      <c r="I134" t="s">
        <v>109</v>
      </c>
      <c r="J134" s="2">
        <v>10.199999999999999</v>
      </c>
      <c r="K134" s="2">
        <v>8</v>
      </c>
      <c r="L134" t="s">
        <v>61</v>
      </c>
      <c r="M134">
        <v>2</v>
      </c>
      <c r="N134">
        <v>1</v>
      </c>
      <c r="O134">
        <v>0</v>
      </c>
    </row>
    <row r="135" spans="1:15">
      <c r="A135" t="s">
        <v>231</v>
      </c>
      <c r="B135" s="1">
        <v>46056</v>
      </c>
      <c r="C135" t="s">
        <v>71</v>
      </c>
      <c r="D135" t="s">
        <v>106</v>
      </c>
      <c r="E135" t="s">
        <v>107</v>
      </c>
      <c r="F135" t="s">
        <v>66</v>
      </c>
      <c r="G135" t="s">
        <v>75</v>
      </c>
      <c r="H135" t="s">
        <v>59</v>
      </c>
      <c r="I135" t="s">
        <v>111</v>
      </c>
      <c r="J135" s="2">
        <v>30.5</v>
      </c>
      <c r="K135" s="2">
        <v>48</v>
      </c>
      <c r="L135" t="s">
        <v>69</v>
      </c>
      <c r="M135">
        <v>4</v>
      </c>
      <c r="N135">
        <v>1</v>
      </c>
      <c r="O135">
        <v>1</v>
      </c>
    </row>
    <row r="136" spans="1:15">
      <c r="A136" t="s">
        <v>232</v>
      </c>
      <c r="B136" s="1">
        <v>46067</v>
      </c>
      <c r="C136" t="s">
        <v>71</v>
      </c>
      <c r="D136" t="s">
        <v>96</v>
      </c>
      <c r="E136" t="s">
        <v>97</v>
      </c>
      <c r="F136" t="s">
        <v>74</v>
      </c>
      <c r="G136" t="s">
        <v>67</v>
      </c>
      <c r="H136" t="s">
        <v>86</v>
      </c>
      <c r="I136" t="s">
        <v>68</v>
      </c>
      <c r="J136" s="2">
        <v>7</v>
      </c>
      <c r="K136" s="2">
        <v>24</v>
      </c>
      <c r="L136" t="s">
        <v>69</v>
      </c>
      <c r="M136">
        <v>5</v>
      </c>
      <c r="N136">
        <v>1</v>
      </c>
      <c r="O136">
        <v>1</v>
      </c>
    </row>
    <row r="137" spans="1:15">
      <c r="A137" t="s">
        <v>233</v>
      </c>
      <c r="B137" s="1">
        <v>46047</v>
      </c>
      <c r="C137" t="s">
        <v>85</v>
      </c>
      <c r="D137" t="s">
        <v>64</v>
      </c>
      <c r="E137" t="s">
        <v>65</v>
      </c>
      <c r="F137" t="s">
        <v>74</v>
      </c>
      <c r="G137" t="s">
        <v>79</v>
      </c>
      <c r="H137" t="s">
        <v>92</v>
      </c>
      <c r="I137" t="s">
        <v>80</v>
      </c>
      <c r="J137" s="2">
        <v>97.4</v>
      </c>
      <c r="K137" s="2">
        <v>72</v>
      </c>
      <c r="L137" t="s">
        <v>61</v>
      </c>
      <c r="M137">
        <v>3</v>
      </c>
      <c r="N137">
        <v>1</v>
      </c>
      <c r="O137">
        <v>0</v>
      </c>
    </row>
    <row r="138" spans="1:15">
      <c r="A138" t="s">
        <v>234</v>
      </c>
      <c r="B138" s="1">
        <v>46172</v>
      </c>
      <c r="C138" t="s">
        <v>63</v>
      </c>
      <c r="D138" t="s">
        <v>99</v>
      </c>
      <c r="E138" t="s">
        <v>100</v>
      </c>
      <c r="F138" t="s">
        <v>57</v>
      </c>
      <c r="G138" t="s">
        <v>79</v>
      </c>
      <c r="H138" t="s">
        <v>59</v>
      </c>
      <c r="I138" t="s">
        <v>87</v>
      </c>
      <c r="J138" s="2">
        <v>1.8</v>
      </c>
      <c r="K138" s="2">
        <v>48</v>
      </c>
      <c r="L138" t="s">
        <v>69</v>
      </c>
      <c r="M138">
        <v>5</v>
      </c>
      <c r="N138">
        <v>1</v>
      </c>
      <c r="O138">
        <v>1</v>
      </c>
    </row>
    <row r="139" spans="1:15">
      <c r="A139" t="s">
        <v>235</v>
      </c>
      <c r="B139" s="1">
        <v>46105</v>
      </c>
      <c r="C139" t="s">
        <v>54</v>
      </c>
      <c r="D139" t="s">
        <v>89</v>
      </c>
      <c r="E139" t="s">
        <v>90</v>
      </c>
      <c r="F139" t="s">
        <v>66</v>
      </c>
      <c r="G139" t="s">
        <v>58</v>
      </c>
      <c r="H139" t="s">
        <v>92</v>
      </c>
      <c r="I139" t="s">
        <v>60</v>
      </c>
      <c r="J139" s="2">
        <v>92.9</v>
      </c>
      <c r="K139" s="2">
        <v>72</v>
      </c>
      <c r="L139" t="s">
        <v>61</v>
      </c>
      <c r="M139">
        <v>4</v>
      </c>
      <c r="N139">
        <v>1</v>
      </c>
      <c r="O139">
        <v>0</v>
      </c>
    </row>
    <row r="140" spans="1:15">
      <c r="A140" t="s">
        <v>236</v>
      </c>
      <c r="B140" s="1">
        <v>46132</v>
      </c>
      <c r="C140" t="s">
        <v>82</v>
      </c>
      <c r="D140" t="s">
        <v>55</v>
      </c>
      <c r="E140" t="s">
        <v>56</v>
      </c>
      <c r="F140" t="s">
        <v>66</v>
      </c>
      <c r="G140" t="s">
        <v>58</v>
      </c>
      <c r="H140" t="s">
        <v>86</v>
      </c>
      <c r="I140" t="s">
        <v>68</v>
      </c>
      <c r="J140" s="2">
        <v>33.1</v>
      </c>
      <c r="K140" s="2">
        <v>24</v>
      </c>
      <c r="L140" t="s">
        <v>61</v>
      </c>
      <c r="M140">
        <v>2</v>
      </c>
      <c r="N140">
        <v>1</v>
      </c>
      <c r="O140">
        <v>0</v>
      </c>
    </row>
    <row r="141" spans="1:15">
      <c r="A141" t="s">
        <v>237</v>
      </c>
      <c r="B141" s="1">
        <v>46086</v>
      </c>
      <c r="C141" t="s">
        <v>54</v>
      </c>
      <c r="D141" t="s">
        <v>89</v>
      </c>
      <c r="E141" t="s">
        <v>90</v>
      </c>
      <c r="F141" t="s">
        <v>66</v>
      </c>
      <c r="G141" t="s">
        <v>75</v>
      </c>
      <c r="H141" t="s">
        <v>59</v>
      </c>
      <c r="I141" t="s">
        <v>83</v>
      </c>
      <c r="J141" s="2">
        <v>23.6</v>
      </c>
      <c r="K141" s="2">
        <v>48</v>
      </c>
      <c r="L141" t="s">
        <v>69</v>
      </c>
      <c r="M141">
        <v>5</v>
      </c>
      <c r="N141">
        <v>1</v>
      </c>
      <c r="O141">
        <v>1</v>
      </c>
    </row>
    <row r="142" spans="1:15">
      <c r="A142" t="s">
        <v>238</v>
      </c>
      <c r="B142" s="1">
        <v>46068</v>
      </c>
      <c r="C142" t="s">
        <v>71</v>
      </c>
      <c r="D142" t="s">
        <v>89</v>
      </c>
      <c r="E142" t="s">
        <v>90</v>
      </c>
      <c r="F142" t="s">
        <v>74</v>
      </c>
      <c r="G142" t="s">
        <v>58</v>
      </c>
      <c r="H142" t="s">
        <v>86</v>
      </c>
      <c r="I142" t="s">
        <v>80</v>
      </c>
      <c r="J142" s="2">
        <v>14.6</v>
      </c>
      <c r="K142" s="2">
        <v>24</v>
      </c>
      <c r="L142" t="s">
        <v>69</v>
      </c>
      <c r="M142">
        <v>4</v>
      </c>
      <c r="N142">
        <v>1</v>
      </c>
      <c r="O142">
        <v>1</v>
      </c>
    </row>
    <row r="143" spans="1:15">
      <c r="A143" t="s">
        <v>239</v>
      </c>
      <c r="B143" s="1">
        <v>46084</v>
      </c>
      <c r="C143" t="s">
        <v>54</v>
      </c>
      <c r="D143" t="s">
        <v>96</v>
      </c>
      <c r="E143" t="s">
        <v>97</v>
      </c>
      <c r="F143" t="s">
        <v>74</v>
      </c>
      <c r="G143" t="s">
        <v>75</v>
      </c>
      <c r="H143" t="s">
        <v>59</v>
      </c>
      <c r="I143" t="s">
        <v>60</v>
      </c>
      <c r="J143" s="2">
        <v>32.1</v>
      </c>
      <c r="K143" s="2">
        <v>48</v>
      </c>
      <c r="L143" t="s">
        <v>69</v>
      </c>
      <c r="M143">
        <v>5</v>
      </c>
      <c r="N143">
        <v>1</v>
      </c>
      <c r="O143">
        <v>1</v>
      </c>
    </row>
    <row r="144" spans="1:15">
      <c r="A144" t="s">
        <v>240</v>
      </c>
      <c r="B144" s="1">
        <v>46184</v>
      </c>
      <c r="C144" t="s">
        <v>104</v>
      </c>
      <c r="D144" t="s">
        <v>89</v>
      </c>
      <c r="E144" t="s">
        <v>90</v>
      </c>
      <c r="F144" t="s">
        <v>74</v>
      </c>
      <c r="G144" t="s">
        <v>79</v>
      </c>
      <c r="H144" t="s">
        <v>59</v>
      </c>
      <c r="I144" t="s">
        <v>109</v>
      </c>
      <c r="J144" s="2">
        <v>20.5</v>
      </c>
      <c r="K144" s="2">
        <v>48</v>
      </c>
      <c r="L144" t="s">
        <v>69</v>
      </c>
      <c r="M144">
        <v>2</v>
      </c>
      <c r="N144">
        <v>1</v>
      </c>
      <c r="O144">
        <v>1</v>
      </c>
    </row>
    <row r="145" spans="1:15">
      <c r="A145" t="s">
        <v>241</v>
      </c>
      <c r="B145" s="1">
        <v>46034</v>
      </c>
      <c r="C145" t="s">
        <v>85</v>
      </c>
      <c r="D145" t="s">
        <v>89</v>
      </c>
      <c r="E145" t="s">
        <v>90</v>
      </c>
      <c r="F145" t="s">
        <v>74</v>
      </c>
      <c r="G145" t="s">
        <v>67</v>
      </c>
      <c r="H145" t="s">
        <v>92</v>
      </c>
      <c r="I145" t="s">
        <v>119</v>
      </c>
      <c r="J145" s="2">
        <v>18.600000000000001</v>
      </c>
      <c r="K145" s="2">
        <v>72</v>
      </c>
      <c r="L145" t="s">
        <v>69</v>
      </c>
      <c r="M145">
        <v>5</v>
      </c>
      <c r="N145">
        <v>1</v>
      </c>
      <c r="O145">
        <v>1</v>
      </c>
    </row>
    <row r="146" spans="1:15">
      <c r="A146" t="s">
        <v>242</v>
      </c>
      <c r="B146" s="1">
        <v>46198</v>
      </c>
      <c r="C146" t="s">
        <v>104</v>
      </c>
      <c r="D146" t="s">
        <v>96</v>
      </c>
      <c r="E146" t="s">
        <v>97</v>
      </c>
      <c r="F146" t="s">
        <v>66</v>
      </c>
      <c r="G146" t="s">
        <v>58</v>
      </c>
      <c r="H146" t="s">
        <v>92</v>
      </c>
      <c r="I146" t="s">
        <v>68</v>
      </c>
      <c r="J146" s="2">
        <v>112.7</v>
      </c>
      <c r="K146" s="2">
        <v>72</v>
      </c>
      <c r="L146" t="s">
        <v>61</v>
      </c>
      <c r="M146">
        <v>3</v>
      </c>
      <c r="N146">
        <v>1</v>
      </c>
      <c r="O146">
        <v>0</v>
      </c>
    </row>
    <row r="147" spans="1:15">
      <c r="A147" t="s">
        <v>243</v>
      </c>
      <c r="B147" s="1">
        <v>46053</v>
      </c>
      <c r="C147" t="s">
        <v>85</v>
      </c>
      <c r="D147" t="s">
        <v>55</v>
      </c>
      <c r="E147" t="s">
        <v>56</v>
      </c>
      <c r="F147" t="s">
        <v>78</v>
      </c>
      <c r="G147" t="s">
        <v>75</v>
      </c>
      <c r="H147" t="s">
        <v>59</v>
      </c>
      <c r="I147" t="s">
        <v>111</v>
      </c>
      <c r="J147" s="2">
        <v>46.6</v>
      </c>
      <c r="K147" s="2">
        <v>48</v>
      </c>
      <c r="L147" t="s">
        <v>69</v>
      </c>
      <c r="M147">
        <v>3</v>
      </c>
      <c r="N147">
        <v>1</v>
      </c>
      <c r="O147">
        <v>1</v>
      </c>
    </row>
    <row r="148" spans="1:15">
      <c r="A148" t="s">
        <v>244</v>
      </c>
      <c r="B148" s="1">
        <v>46094</v>
      </c>
      <c r="C148" t="s">
        <v>54</v>
      </c>
      <c r="D148" t="s">
        <v>64</v>
      </c>
      <c r="E148" t="s">
        <v>65</v>
      </c>
      <c r="F148" t="s">
        <v>78</v>
      </c>
      <c r="G148" t="s">
        <v>58</v>
      </c>
      <c r="H148" t="s">
        <v>59</v>
      </c>
      <c r="I148" t="s">
        <v>76</v>
      </c>
      <c r="J148" s="2">
        <v>72.900000000000006</v>
      </c>
      <c r="K148" s="2">
        <v>48</v>
      </c>
      <c r="L148" t="s">
        <v>61</v>
      </c>
      <c r="M148">
        <v>1</v>
      </c>
      <c r="N148">
        <v>1</v>
      </c>
      <c r="O148">
        <v>0</v>
      </c>
    </row>
    <row r="149" spans="1:15">
      <c r="A149" t="s">
        <v>245</v>
      </c>
      <c r="B149" s="1">
        <v>46166</v>
      </c>
      <c r="C149" t="s">
        <v>63</v>
      </c>
      <c r="D149" t="s">
        <v>89</v>
      </c>
      <c r="E149" t="s">
        <v>90</v>
      </c>
      <c r="F149" t="s">
        <v>66</v>
      </c>
      <c r="G149" t="s">
        <v>79</v>
      </c>
      <c r="H149" t="s">
        <v>59</v>
      </c>
      <c r="I149" t="s">
        <v>76</v>
      </c>
      <c r="J149" s="2">
        <v>28.8</v>
      </c>
      <c r="K149" s="2">
        <v>48</v>
      </c>
      <c r="L149" t="s">
        <v>69</v>
      </c>
      <c r="M149">
        <v>4</v>
      </c>
      <c r="N149">
        <v>1</v>
      </c>
      <c r="O149">
        <v>1</v>
      </c>
    </row>
    <row r="150" spans="1:15">
      <c r="A150" t="s">
        <v>246</v>
      </c>
      <c r="B150" s="1">
        <v>46137</v>
      </c>
      <c r="C150" t="s">
        <v>82</v>
      </c>
      <c r="D150" t="s">
        <v>89</v>
      </c>
      <c r="E150" t="s">
        <v>90</v>
      </c>
      <c r="F150" t="s">
        <v>78</v>
      </c>
      <c r="G150" t="s">
        <v>58</v>
      </c>
      <c r="H150" t="s">
        <v>59</v>
      </c>
      <c r="I150" t="s">
        <v>87</v>
      </c>
      <c r="J150" s="2">
        <v>30.7</v>
      </c>
      <c r="K150" s="2">
        <v>48</v>
      </c>
      <c r="L150" t="s">
        <v>69</v>
      </c>
      <c r="M150">
        <v>2</v>
      </c>
      <c r="N150">
        <v>1</v>
      </c>
      <c r="O150">
        <v>1</v>
      </c>
    </row>
    <row r="151" spans="1:15">
      <c r="A151" t="s">
        <v>247</v>
      </c>
      <c r="B151" s="1">
        <v>46139</v>
      </c>
      <c r="C151" t="s">
        <v>82</v>
      </c>
      <c r="D151" t="s">
        <v>89</v>
      </c>
      <c r="E151" t="s">
        <v>90</v>
      </c>
      <c r="F151" t="s">
        <v>74</v>
      </c>
      <c r="G151" t="s">
        <v>75</v>
      </c>
      <c r="H151" t="s">
        <v>86</v>
      </c>
      <c r="I151" t="s">
        <v>109</v>
      </c>
      <c r="J151" s="2">
        <v>24.7</v>
      </c>
      <c r="K151" s="2">
        <v>24</v>
      </c>
      <c r="L151" t="s">
        <v>61</v>
      </c>
      <c r="M151">
        <v>5</v>
      </c>
      <c r="N151">
        <v>1</v>
      </c>
      <c r="O151">
        <v>0</v>
      </c>
    </row>
    <row r="152" spans="1:15">
      <c r="A152" t="s">
        <v>248</v>
      </c>
      <c r="B152" s="1">
        <v>46062</v>
      </c>
      <c r="C152" t="s">
        <v>71</v>
      </c>
      <c r="D152" t="s">
        <v>89</v>
      </c>
      <c r="E152" t="s">
        <v>90</v>
      </c>
      <c r="F152" t="s">
        <v>78</v>
      </c>
      <c r="G152" t="s">
        <v>58</v>
      </c>
      <c r="H152" t="s">
        <v>59</v>
      </c>
      <c r="I152" t="s">
        <v>83</v>
      </c>
      <c r="J152" s="2">
        <v>7.5</v>
      </c>
      <c r="K152" s="2">
        <v>48</v>
      </c>
      <c r="L152" t="s">
        <v>69</v>
      </c>
      <c r="M152">
        <v>2</v>
      </c>
      <c r="N152">
        <v>1</v>
      </c>
      <c r="O152">
        <v>1</v>
      </c>
    </row>
    <row r="153" spans="1:15">
      <c r="A153" t="s">
        <v>249</v>
      </c>
      <c r="B153" s="1">
        <v>46109</v>
      </c>
      <c r="C153" t="s">
        <v>54</v>
      </c>
      <c r="D153" t="s">
        <v>55</v>
      </c>
      <c r="E153" t="s">
        <v>56</v>
      </c>
      <c r="F153" t="s">
        <v>74</v>
      </c>
      <c r="G153" t="s">
        <v>79</v>
      </c>
      <c r="H153" t="s">
        <v>59</v>
      </c>
      <c r="I153" t="s">
        <v>109</v>
      </c>
      <c r="J153" s="2">
        <v>70.3</v>
      </c>
      <c r="K153" s="2">
        <v>48</v>
      </c>
      <c r="L153" t="s">
        <v>61</v>
      </c>
      <c r="M153">
        <v>5</v>
      </c>
      <c r="N153">
        <v>1</v>
      </c>
      <c r="O153">
        <v>0</v>
      </c>
    </row>
    <row r="154" spans="1:15">
      <c r="A154" t="s">
        <v>250</v>
      </c>
      <c r="B154" s="1">
        <v>46184</v>
      </c>
      <c r="C154" t="s">
        <v>104</v>
      </c>
      <c r="D154" t="s">
        <v>96</v>
      </c>
      <c r="E154" t="s">
        <v>97</v>
      </c>
      <c r="F154" t="s">
        <v>57</v>
      </c>
      <c r="G154" t="s">
        <v>79</v>
      </c>
      <c r="H154" t="s">
        <v>59</v>
      </c>
      <c r="I154" t="s">
        <v>60</v>
      </c>
      <c r="J154" s="2">
        <v>60.9</v>
      </c>
      <c r="K154" s="2">
        <v>48</v>
      </c>
      <c r="L154" t="s">
        <v>61</v>
      </c>
      <c r="M154">
        <v>3</v>
      </c>
      <c r="N154">
        <v>1</v>
      </c>
      <c r="O154">
        <v>0</v>
      </c>
    </row>
    <row r="155" spans="1:15">
      <c r="A155" t="s">
        <v>251</v>
      </c>
      <c r="B155" s="1">
        <v>46176</v>
      </c>
      <c r="C155" t="s">
        <v>104</v>
      </c>
      <c r="D155" t="s">
        <v>89</v>
      </c>
      <c r="E155" t="s">
        <v>90</v>
      </c>
      <c r="F155" t="s">
        <v>66</v>
      </c>
      <c r="G155" t="s">
        <v>67</v>
      </c>
      <c r="H155" t="s">
        <v>121</v>
      </c>
      <c r="I155" t="s">
        <v>68</v>
      </c>
      <c r="J155" s="2">
        <v>5.8</v>
      </c>
      <c r="K155" s="2">
        <v>8</v>
      </c>
      <c r="L155" t="s">
        <v>69</v>
      </c>
      <c r="M155">
        <v>4</v>
      </c>
      <c r="N155">
        <v>1</v>
      </c>
      <c r="O155">
        <v>1</v>
      </c>
    </row>
    <row r="156" spans="1:15">
      <c r="A156" t="s">
        <v>252</v>
      </c>
      <c r="B156" s="1">
        <v>46090</v>
      </c>
      <c r="C156" t="s">
        <v>54</v>
      </c>
      <c r="D156" t="s">
        <v>96</v>
      </c>
      <c r="E156" t="s">
        <v>97</v>
      </c>
      <c r="F156" t="s">
        <v>66</v>
      </c>
      <c r="G156" t="s">
        <v>79</v>
      </c>
      <c r="H156" t="s">
        <v>59</v>
      </c>
      <c r="I156" t="s">
        <v>111</v>
      </c>
      <c r="J156" s="2">
        <v>55.6</v>
      </c>
      <c r="K156" s="2">
        <v>48</v>
      </c>
      <c r="L156" t="s">
        <v>61</v>
      </c>
      <c r="M156">
        <v>5</v>
      </c>
      <c r="N156">
        <v>1</v>
      </c>
      <c r="O156">
        <v>0</v>
      </c>
    </row>
    <row r="157" spans="1:15">
      <c r="A157" t="s">
        <v>253</v>
      </c>
      <c r="B157" s="1">
        <v>46124</v>
      </c>
      <c r="C157" t="s">
        <v>82</v>
      </c>
      <c r="D157" t="s">
        <v>64</v>
      </c>
      <c r="E157" t="s">
        <v>65</v>
      </c>
      <c r="F157" t="s">
        <v>78</v>
      </c>
      <c r="G157" t="s">
        <v>67</v>
      </c>
      <c r="H157" t="s">
        <v>92</v>
      </c>
      <c r="I157" t="s">
        <v>119</v>
      </c>
      <c r="J157" s="2">
        <v>63.6</v>
      </c>
      <c r="K157" s="2">
        <v>72</v>
      </c>
      <c r="L157" t="s">
        <v>69</v>
      </c>
      <c r="M157">
        <v>4</v>
      </c>
      <c r="N157">
        <v>1</v>
      </c>
      <c r="O157">
        <v>1</v>
      </c>
    </row>
    <row r="158" spans="1:15">
      <c r="A158" t="s">
        <v>254</v>
      </c>
      <c r="B158" s="1">
        <v>46186</v>
      </c>
      <c r="C158" t="s">
        <v>104</v>
      </c>
      <c r="D158" t="s">
        <v>99</v>
      </c>
      <c r="E158" t="s">
        <v>100</v>
      </c>
      <c r="F158" t="s">
        <v>74</v>
      </c>
      <c r="G158" t="s">
        <v>75</v>
      </c>
      <c r="H158" t="s">
        <v>59</v>
      </c>
      <c r="I158" t="s">
        <v>83</v>
      </c>
      <c r="J158" s="2">
        <v>72.3</v>
      </c>
      <c r="K158" s="2">
        <v>48</v>
      </c>
      <c r="L158" t="s">
        <v>61</v>
      </c>
      <c r="M158">
        <v>3</v>
      </c>
      <c r="N158">
        <v>1</v>
      </c>
      <c r="O158">
        <v>0</v>
      </c>
    </row>
    <row r="159" spans="1:15">
      <c r="A159" t="s">
        <v>255</v>
      </c>
      <c r="B159" s="1">
        <v>46089</v>
      </c>
      <c r="C159" t="s">
        <v>54</v>
      </c>
      <c r="D159" t="s">
        <v>64</v>
      </c>
      <c r="E159" t="s">
        <v>65</v>
      </c>
      <c r="F159" t="s">
        <v>57</v>
      </c>
      <c r="G159" t="s">
        <v>75</v>
      </c>
      <c r="H159" t="s">
        <v>92</v>
      </c>
      <c r="I159" t="s">
        <v>76</v>
      </c>
      <c r="J159" s="2">
        <v>96.3</v>
      </c>
      <c r="K159" s="2">
        <v>72</v>
      </c>
      <c r="L159" t="s">
        <v>61</v>
      </c>
      <c r="M159">
        <v>4</v>
      </c>
      <c r="N159">
        <v>1</v>
      </c>
      <c r="O159">
        <v>0</v>
      </c>
    </row>
    <row r="160" spans="1:15">
      <c r="A160" t="s">
        <v>256</v>
      </c>
      <c r="B160" s="1">
        <v>46192</v>
      </c>
      <c r="C160" t="s">
        <v>104</v>
      </c>
      <c r="D160" t="s">
        <v>96</v>
      </c>
      <c r="E160" t="s">
        <v>97</v>
      </c>
      <c r="F160" t="s">
        <v>57</v>
      </c>
      <c r="G160" t="s">
        <v>75</v>
      </c>
      <c r="H160" t="s">
        <v>92</v>
      </c>
      <c r="I160" t="s">
        <v>87</v>
      </c>
      <c r="J160" s="2">
        <v>111.7</v>
      </c>
      <c r="K160" s="2">
        <v>72</v>
      </c>
      <c r="L160" t="s">
        <v>61</v>
      </c>
      <c r="M160">
        <v>2</v>
      </c>
      <c r="N160">
        <v>1</v>
      </c>
      <c r="O160">
        <v>0</v>
      </c>
    </row>
    <row r="161" spans="1:15">
      <c r="A161" t="s">
        <v>257</v>
      </c>
      <c r="B161" s="1">
        <v>46041</v>
      </c>
      <c r="C161" t="s">
        <v>85</v>
      </c>
      <c r="D161" t="s">
        <v>55</v>
      </c>
      <c r="E161" t="s">
        <v>56</v>
      </c>
      <c r="F161" t="s">
        <v>78</v>
      </c>
      <c r="G161" t="s">
        <v>75</v>
      </c>
      <c r="H161" t="s">
        <v>59</v>
      </c>
      <c r="I161" t="s">
        <v>109</v>
      </c>
      <c r="J161" s="2">
        <v>71.3</v>
      </c>
      <c r="K161" s="2">
        <v>48</v>
      </c>
      <c r="L161" t="s">
        <v>61</v>
      </c>
      <c r="M161">
        <v>3</v>
      </c>
      <c r="N161">
        <v>1</v>
      </c>
      <c r="O161">
        <v>0</v>
      </c>
    </row>
    <row r="162" spans="1:15">
      <c r="A162" t="s">
        <v>258</v>
      </c>
      <c r="B162" s="1">
        <v>46054</v>
      </c>
      <c r="C162" t="s">
        <v>71</v>
      </c>
      <c r="D162" t="s">
        <v>94</v>
      </c>
      <c r="E162" t="s">
        <v>56</v>
      </c>
      <c r="F162" t="s">
        <v>78</v>
      </c>
      <c r="G162" t="s">
        <v>75</v>
      </c>
      <c r="H162" t="s">
        <v>86</v>
      </c>
      <c r="I162" t="s">
        <v>80</v>
      </c>
      <c r="J162" s="2">
        <v>8.4</v>
      </c>
      <c r="K162" s="2">
        <v>24</v>
      </c>
      <c r="L162" t="s">
        <v>69</v>
      </c>
      <c r="M162">
        <v>5</v>
      </c>
      <c r="N162">
        <v>1</v>
      </c>
      <c r="O162">
        <v>1</v>
      </c>
    </row>
    <row r="163" spans="1:15">
      <c r="A163" t="s">
        <v>259</v>
      </c>
      <c r="B163" s="1">
        <v>46027</v>
      </c>
      <c r="C163" t="s">
        <v>85</v>
      </c>
      <c r="D163" t="s">
        <v>64</v>
      </c>
      <c r="E163" t="s">
        <v>65</v>
      </c>
      <c r="F163" t="s">
        <v>78</v>
      </c>
      <c r="G163" t="s">
        <v>67</v>
      </c>
      <c r="H163" t="s">
        <v>86</v>
      </c>
      <c r="I163" t="s">
        <v>119</v>
      </c>
      <c r="J163" s="2">
        <v>7.2</v>
      </c>
      <c r="K163" s="2">
        <v>24</v>
      </c>
      <c r="L163" t="s">
        <v>69</v>
      </c>
      <c r="M163">
        <v>3</v>
      </c>
      <c r="N163">
        <v>1</v>
      </c>
      <c r="O163">
        <v>1</v>
      </c>
    </row>
    <row r="164" spans="1:15">
      <c r="A164" t="s">
        <v>260</v>
      </c>
      <c r="B164" s="1">
        <v>46025</v>
      </c>
      <c r="C164" t="s">
        <v>85</v>
      </c>
      <c r="D164" t="s">
        <v>55</v>
      </c>
      <c r="E164" t="s">
        <v>56</v>
      </c>
      <c r="F164" t="s">
        <v>57</v>
      </c>
      <c r="G164" t="s">
        <v>79</v>
      </c>
      <c r="H164" t="s">
        <v>92</v>
      </c>
      <c r="I164" t="s">
        <v>115</v>
      </c>
      <c r="J164" s="2">
        <v>18.2</v>
      </c>
      <c r="K164" s="2">
        <v>72</v>
      </c>
      <c r="L164" t="s">
        <v>69</v>
      </c>
      <c r="M164">
        <v>4</v>
      </c>
      <c r="N164">
        <v>1</v>
      </c>
      <c r="O164">
        <v>1</v>
      </c>
    </row>
    <row r="165" spans="1:15">
      <c r="A165" t="s">
        <v>261</v>
      </c>
      <c r="B165" s="1">
        <v>46037</v>
      </c>
      <c r="C165" t="s">
        <v>85</v>
      </c>
      <c r="D165" t="s">
        <v>94</v>
      </c>
      <c r="E165" t="s">
        <v>56</v>
      </c>
      <c r="F165" t="s">
        <v>78</v>
      </c>
      <c r="G165" t="s">
        <v>79</v>
      </c>
      <c r="H165" t="s">
        <v>59</v>
      </c>
      <c r="I165" t="s">
        <v>119</v>
      </c>
      <c r="J165" s="2">
        <v>30.6</v>
      </c>
      <c r="K165" s="2">
        <v>48</v>
      </c>
      <c r="L165" t="s">
        <v>69</v>
      </c>
      <c r="M165">
        <v>4</v>
      </c>
      <c r="N165">
        <v>1</v>
      </c>
      <c r="O165">
        <v>1</v>
      </c>
    </row>
    <row r="166" spans="1:15">
      <c r="A166" t="s">
        <v>262</v>
      </c>
      <c r="B166" s="1">
        <v>46035</v>
      </c>
      <c r="C166" t="s">
        <v>85</v>
      </c>
      <c r="D166" t="s">
        <v>106</v>
      </c>
      <c r="E166" t="s">
        <v>107</v>
      </c>
      <c r="F166" t="s">
        <v>74</v>
      </c>
      <c r="G166" t="s">
        <v>58</v>
      </c>
      <c r="H166" t="s">
        <v>59</v>
      </c>
      <c r="I166" t="s">
        <v>109</v>
      </c>
      <c r="J166" s="2">
        <v>47.1</v>
      </c>
      <c r="K166" s="2">
        <v>48</v>
      </c>
      <c r="L166" t="s">
        <v>69</v>
      </c>
      <c r="M166">
        <v>1</v>
      </c>
      <c r="N166">
        <v>1</v>
      </c>
      <c r="O166">
        <v>1</v>
      </c>
    </row>
    <row r="167" spans="1:15">
      <c r="A167" t="s">
        <v>263</v>
      </c>
      <c r="B167" s="1">
        <v>46131</v>
      </c>
      <c r="C167" t="s">
        <v>82</v>
      </c>
      <c r="D167" t="s">
        <v>89</v>
      </c>
      <c r="E167" t="s">
        <v>90</v>
      </c>
      <c r="F167" t="s">
        <v>74</v>
      </c>
      <c r="G167" t="s">
        <v>75</v>
      </c>
      <c r="H167" t="s">
        <v>92</v>
      </c>
      <c r="I167" t="s">
        <v>60</v>
      </c>
      <c r="J167" s="2">
        <v>100.1</v>
      </c>
      <c r="K167" s="2">
        <v>72</v>
      </c>
      <c r="L167" t="s">
        <v>61</v>
      </c>
      <c r="M167">
        <v>4</v>
      </c>
      <c r="N167">
        <v>1</v>
      </c>
      <c r="O167">
        <v>0</v>
      </c>
    </row>
    <row r="168" spans="1:15">
      <c r="A168" t="s">
        <v>264</v>
      </c>
      <c r="B168" s="1">
        <v>46157</v>
      </c>
      <c r="C168" t="s">
        <v>63</v>
      </c>
      <c r="D168" t="s">
        <v>72</v>
      </c>
      <c r="E168" t="s">
        <v>73</v>
      </c>
      <c r="F168" t="s">
        <v>57</v>
      </c>
      <c r="G168" t="s">
        <v>79</v>
      </c>
      <c r="H168" t="s">
        <v>92</v>
      </c>
      <c r="I168" t="s">
        <v>111</v>
      </c>
      <c r="J168" s="2">
        <v>29.6</v>
      </c>
      <c r="K168" s="2">
        <v>72</v>
      </c>
      <c r="L168" t="s">
        <v>69</v>
      </c>
      <c r="M168">
        <v>4</v>
      </c>
      <c r="N168">
        <v>1</v>
      </c>
      <c r="O168">
        <v>1</v>
      </c>
    </row>
    <row r="169" spans="1:15">
      <c r="A169" t="s">
        <v>265</v>
      </c>
      <c r="B169" s="1">
        <v>46126</v>
      </c>
      <c r="C169" t="s">
        <v>82</v>
      </c>
      <c r="D169" t="s">
        <v>72</v>
      </c>
      <c r="E169" t="s">
        <v>73</v>
      </c>
      <c r="F169" t="s">
        <v>78</v>
      </c>
      <c r="G169" t="s">
        <v>58</v>
      </c>
      <c r="H169" t="s">
        <v>86</v>
      </c>
      <c r="I169" t="s">
        <v>109</v>
      </c>
      <c r="J169" s="2">
        <v>1.4</v>
      </c>
      <c r="K169" s="2">
        <v>24</v>
      </c>
      <c r="L169" t="s">
        <v>69</v>
      </c>
      <c r="M169">
        <v>2</v>
      </c>
      <c r="N169">
        <v>1</v>
      </c>
      <c r="O169">
        <v>1</v>
      </c>
    </row>
    <row r="170" spans="1:15">
      <c r="A170" t="s">
        <v>266</v>
      </c>
      <c r="B170" s="1">
        <v>46155</v>
      </c>
      <c r="C170" t="s">
        <v>63</v>
      </c>
      <c r="D170" t="s">
        <v>96</v>
      </c>
      <c r="E170" t="s">
        <v>97</v>
      </c>
      <c r="F170" t="s">
        <v>57</v>
      </c>
      <c r="G170" t="s">
        <v>58</v>
      </c>
      <c r="H170" t="s">
        <v>92</v>
      </c>
      <c r="I170" t="s">
        <v>115</v>
      </c>
      <c r="J170" s="2">
        <v>42.1</v>
      </c>
      <c r="K170" s="2">
        <v>72</v>
      </c>
      <c r="L170" t="s">
        <v>69</v>
      </c>
      <c r="M170">
        <v>4</v>
      </c>
      <c r="N170">
        <v>1</v>
      </c>
      <c r="O170">
        <v>1</v>
      </c>
    </row>
    <row r="171" spans="1:15">
      <c r="A171" t="s">
        <v>267</v>
      </c>
      <c r="B171" s="1">
        <v>46145</v>
      </c>
      <c r="C171" t="s">
        <v>63</v>
      </c>
      <c r="D171" t="s">
        <v>89</v>
      </c>
      <c r="E171" t="s">
        <v>90</v>
      </c>
      <c r="F171" t="s">
        <v>78</v>
      </c>
      <c r="G171" t="s">
        <v>75</v>
      </c>
      <c r="H171" t="s">
        <v>92</v>
      </c>
      <c r="I171" t="s">
        <v>83</v>
      </c>
      <c r="J171" s="2">
        <v>70.8</v>
      </c>
      <c r="K171" s="2">
        <v>72</v>
      </c>
      <c r="L171" t="s">
        <v>69</v>
      </c>
      <c r="M171">
        <v>3</v>
      </c>
      <c r="N171">
        <v>1</v>
      </c>
      <c r="O171">
        <v>1</v>
      </c>
    </row>
    <row r="172" spans="1:15">
      <c r="A172" t="s">
        <v>268</v>
      </c>
      <c r="B172" s="1">
        <v>46108</v>
      </c>
      <c r="C172" t="s">
        <v>54</v>
      </c>
      <c r="D172" t="s">
        <v>72</v>
      </c>
      <c r="E172" t="s">
        <v>73</v>
      </c>
      <c r="F172" t="s">
        <v>57</v>
      </c>
      <c r="G172" t="s">
        <v>79</v>
      </c>
      <c r="H172" t="s">
        <v>59</v>
      </c>
      <c r="I172" t="s">
        <v>68</v>
      </c>
      <c r="J172" s="2">
        <v>48.3</v>
      </c>
      <c r="K172" s="2">
        <v>48</v>
      </c>
      <c r="L172" t="s">
        <v>61</v>
      </c>
      <c r="M172">
        <v>3</v>
      </c>
      <c r="N172">
        <v>1</v>
      </c>
      <c r="O172">
        <v>0</v>
      </c>
    </row>
    <row r="173" spans="1:15">
      <c r="A173" t="s">
        <v>269</v>
      </c>
      <c r="B173" s="1">
        <v>46082</v>
      </c>
      <c r="C173" t="s">
        <v>54</v>
      </c>
      <c r="D173" t="s">
        <v>72</v>
      </c>
      <c r="E173" t="s">
        <v>73</v>
      </c>
      <c r="F173" t="s">
        <v>74</v>
      </c>
      <c r="G173" t="s">
        <v>75</v>
      </c>
      <c r="H173" t="s">
        <v>92</v>
      </c>
      <c r="I173" t="s">
        <v>119</v>
      </c>
      <c r="J173" s="2">
        <v>38.799999999999997</v>
      </c>
      <c r="K173" s="2">
        <v>72</v>
      </c>
      <c r="L173" t="s">
        <v>69</v>
      </c>
      <c r="M173">
        <v>4</v>
      </c>
      <c r="N173">
        <v>1</v>
      </c>
      <c r="O173">
        <v>1</v>
      </c>
    </row>
    <row r="174" spans="1:15">
      <c r="A174" t="s">
        <v>270</v>
      </c>
      <c r="B174" s="1">
        <v>46153</v>
      </c>
      <c r="C174" t="s">
        <v>63</v>
      </c>
      <c r="D174" t="s">
        <v>99</v>
      </c>
      <c r="E174" t="s">
        <v>100</v>
      </c>
      <c r="F174" t="s">
        <v>57</v>
      </c>
      <c r="G174" t="s">
        <v>79</v>
      </c>
      <c r="H174" t="s">
        <v>59</v>
      </c>
      <c r="I174" t="s">
        <v>109</v>
      </c>
      <c r="J174" s="2">
        <v>19.100000000000001</v>
      </c>
      <c r="K174" s="2">
        <v>48</v>
      </c>
      <c r="L174" t="s">
        <v>69</v>
      </c>
      <c r="M174">
        <v>3</v>
      </c>
      <c r="N174">
        <v>1</v>
      </c>
      <c r="O174">
        <v>1</v>
      </c>
    </row>
    <row r="175" spans="1:15">
      <c r="A175" t="s">
        <v>271</v>
      </c>
      <c r="B175" s="1">
        <v>46202</v>
      </c>
      <c r="C175" t="s">
        <v>104</v>
      </c>
      <c r="D175" t="s">
        <v>55</v>
      </c>
      <c r="E175" t="s">
        <v>56</v>
      </c>
      <c r="F175" t="s">
        <v>57</v>
      </c>
      <c r="G175" t="s">
        <v>58</v>
      </c>
      <c r="H175" t="s">
        <v>121</v>
      </c>
      <c r="I175" t="s">
        <v>87</v>
      </c>
      <c r="J175" s="2">
        <v>3.9</v>
      </c>
      <c r="K175" s="2">
        <v>8</v>
      </c>
      <c r="L175" t="s">
        <v>69</v>
      </c>
      <c r="M175">
        <v>5</v>
      </c>
      <c r="N175">
        <v>1</v>
      </c>
      <c r="O175">
        <v>1</v>
      </c>
    </row>
    <row r="176" spans="1:15">
      <c r="A176" t="s">
        <v>272</v>
      </c>
      <c r="B176" s="1">
        <v>46095</v>
      </c>
      <c r="C176" t="s">
        <v>54</v>
      </c>
      <c r="D176" t="s">
        <v>96</v>
      </c>
      <c r="E176" t="s">
        <v>97</v>
      </c>
      <c r="F176" t="s">
        <v>66</v>
      </c>
      <c r="G176" t="s">
        <v>58</v>
      </c>
      <c r="H176" t="s">
        <v>59</v>
      </c>
      <c r="I176" t="s">
        <v>115</v>
      </c>
      <c r="J176" s="2">
        <v>5.7</v>
      </c>
      <c r="K176" s="2">
        <v>48</v>
      </c>
      <c r="L176" t="s">
        <v>69</v>
      </c>
      <c r="M176">
        <v>3</v>
      </c>
      <c r="N176">
        <v>1</v>
      </c>
      <c r="O176">
        <v>1</v>
      </c>
    </row>
    <row r="177" spans="1:15">
      <c r="A177" t="s">
        <v>273</v>
      </c>
      <c r="B177" s="1">
        <v>46108</v>
      </c>
      <c r="C177" t="s">
        <v>54</v>
      </c>
      <c r="D177" t="s">
        <v>89</v>
      </c>
      <c r="E177" t="s">
        <v>90</v>
      </c>
      <c r="F177" t="s">
        <v>78</v>
      </c>
      <c r="G177" t="s">
        <v>75</v>
      </c>
      <c r="H177" t="s">
        <v>59</v>
      </c>
      <c r="I177" t="s">
        <v>109</v>
      </c>
      <c r="J177" s="2">
        <v>50.8</v>
      </c>
      <c r="K177" s="2">
        <v>48</v>
      </c>
      <c r="L177" t="s">
        <v>61</v>
      </c>
      <c r="M177">
        <v>1</v>
      </c>
      <c r="N177">
        <v>1</v>
      </c>
      <c r="O177">
        <v>0</v>
      </c>
    </row>
    <row r="178" spans="1:15">
      <c r="A178" t="s">
        <v>274</v>
      </c>
      <c r="B178" s="1">
        <v>46137</v>
      </c>
      <c r="C178" t="s">
        <v>82</v>
      </c>
      <c r="D178" t="s">
        <v>89</v>
      </c>
      <c r="E178" t="s">
        <v>90</v>
      </c>
      <c r="F178" t="s">
        <v>78</v>
      </c>
      <c r="G178" t="s">
        <v>75</v>
      </c>
      <c r="H178" t="s">
        <v>59</v>
      </c>
      <c r="I178" t="s">
        <v>80</v>
      </c>
      <c r="J178" s="2">
        <v>22.9</v>
      </c>
      <c r="K178" s="2">
        <v>48</v>
      </c>
      <c r="L178" t="s">
        <v>69</v>
      </c>
      <c r="M178">
        <v>5</v>
      </c>
      <c r="N178">
        <v>1</v>
      </c>
      <c r="O178">
        <v>1</v>
      </c>
    </row>
    <row r="179" spans="1:15">
      <c r="A179" t="s">
        <v>275</v>
      </c>
      <c r="B179" s="1">
        <v>46039</v>
      </c>
      <c r="C179" t="s">
        <v>85</v>
      </c>
      <c r="D179" t="s">
        <v>89</v>
      </c>
      <c r="E179" t="s">
        <v>90</v>
      </c>
      <c r="F179" t="s">
        <v>74</v>
      </c>
      <c r="G179" t="s">
        <v>67</v>
      </c>
      <c r="H179" t="s">
        <v>59</v>
      </c>
      <c r="I179" t="s">
        <v>60</v>
      </c>
      <c r="J179" s="2">
        <v>71.099999999999994</v>
      </c>
      <c r="K179" s="2">
        <v>48</v>
      </c>
      <c r="L179" t="s">
        <v>61</v>
      </c>
      <c r="M179">
        <v>2</v>
      </c>
      <c r="N179">
        <v>1</v>
      </c>
      <c r="O179">
        <v>0</v>
      </c>
    </row>
    <row r="180" spans="1:15">
      <c r="A180" t="s">
        <v>276</v>
      </c>
      <c r="B180" s="1">
        <v>46178</v>
      </c>
      <c r="C180" t="s">
        <v>104</v>
      </c>
      <c r="D180" t="s">
        <v>99</v>
      </c>
      <c r="E180" t="s">
        <v>100</v>
      </c>
      <c r="F180" t="s">
        <v>74</v>
      </c>
      <c r="G180" t="s">
        <v>79</v>
      </c>
      <c r="H180" t="s">
        <v>59</v>
      </c>
      <c r="I180" t="s">
        <v>87</v>
      </c>
      <c r="J180" s="2">
        <v>8.6999999999999993</v>
      </c>
      <c r="K180" s="2">
        <v>48</v>
      </c>
      <c r="L180" t="s">
        <v>69</v>
      </c>
      <c r="M180">
        <v>4</v>
      </c>
      <c r="N180">
        <v>1</v>
      </c>
      <c r="O180">
        <v>1</v>
      </c>
    </row>
    <row r="181" spans="1:15">
      <c r="A181" t="s">
        <v>277</v>
      </c>
      <c r="B181" s="1">
        <v>46148</v>
      </c>
      <c r="C181" t="s">
        <v>63</v>
      </c>
      <c r="D181" t="s">
        <v>106</v>
      </c>
      <c r="E181" t="s">
        <v>107</v>
      </c>
      <c r="F181" t="s">
        <v>74</v>
      </c>
      <c r="G181" t="s">
        <v>75</v>
      </c>
      <c r="H181" t="s">
        <v>59</v>
      </c>
      <c r="I181" t="s">
        <v>119</v>
      </c>
      <c r="J181" s="2">
        <v>70.099999999999994</v>
      </c>
      <c r="K181" s="2">
        <v>48</v>
      </c>
      <c r="L181" t="s">
        <v>61</v>
      </c>
      <c r="M181">
        <v>2</v>
      </c>
      <c r="N181">
        <v>1</v>
      </c>
      <c r="O181">
        <v>0</v>
      </c>
    </row>
    <row r="182" spans="1:15">
      <c r="A182" t="s">
        <v>278</v>
      </c>
      <c r="B182" s="1">
        <v>46177</v>
      </c>
      <c r="C182" t="s">
        <v>104</v>
      </c>
      <c r="D182" t="s">
        <v>94</v>
      </c>
      <c r="E182" t="s">
        <v>56</v>
      </c>
      <c r="F182" t="s">
        <v>57</v>
      </c>
      <c r="G182" t="s">
        <v>58</v>
      </c>
      <c r="H182" t="s">
        <v>86</v>
      </c>
      <c r="I182" t="s">
        <v>111</v>
      </c>
      <c r="J182" s="2">
        <v>16.899999999999999</v>
      </c>
      <c r="K182" s="2">
        <v>24</v>
      </c>
      <c r="L182" t="s">
        <v>69</v>
      </c>
      <c r="M182">
        <v>5</v>
      </c>
      <c r="N182">
        <v>1</v>
      </c>
      <c r="O182">
        <v>1</v>
      </c>
    </row>
    <row r="183" spans="1:15">
      <c r="A183" t="s">
        <v>279</v>
      </c>
      <c r="B183" s="1">
        <v>46030</v>
      </c>
      <c r="C183" t="s">
        <v>85</v>
      </c>
      <c r="D183" t="s">
        <v>64</v>
      </c>
      <c r="E183" t="s">
        <v>65</v>
      </c>
      <c r="F183" t="s">
        <v>74</v>
      </c>
      <c r="G183" t="s">
        <v>58</v>
      </c>
      <c r="H183" t="s">
        <v>121</v>
      </c>
      <c r="I183" t="s">
        <v>83</v>
      </c>
      <c r="J183" s="2">
        <v>1.9</v>
      </c>
      <c r="K183" s="2">
        <v>8</v>
      </c>
      <c r="L183" t="s">
        <v>69</v>
      </c>
      <c r="M183">
        <v>5</v>
      </c>
      <c r="N183">
        <v>1</v>
      </c>
      <c r="O183">
        <v>1</v>
      </c>
    </row>
    <row r="184" spans="1:15">
      <c r="A184" t="s">
        <v>280</v>
      </c>
      <c r="B184" s="1">
        <v>46178</v>
      </c>
      <c r="C184" t="s">
        <v>104</v>
      </c>
      <c r="D184" t="s">
        <v>99</v>
      </c>
      <c r="E184" t="s">
        <v>100</v>
      </c>
      <c r="F184" t="s">
        <v>74</v>
      </c>
      <c r="G184" t="s">
        <v>79</v>
      </c>
      <c r="H184" t="s">
        <v>59</v>
      </c>
      <c r="I184" t="s">
        <v>119</v>
      </c>
      <c r="J184" s="2">
        <v>33.700000000000003</v>
      </c>
      <c r="K184" s="2">
        <v>48</v>
      </c>
      <c r="L184" t="s">
        <v>69</v>
      </c>
      <c r="M184">
        <v>5</v>
      </c>
      <c r="N184">
        <v>1</v>
      </c>
      <c r="O184">
        <v>1</v>
      </c>
    </row>
    <row r="185" spans="1:15">
      <c r="A185" t="s">
        <v>281</v>
      </c>
      <c r="B185" s="1">
        <v>46026</v>
      </c>
      <c r="C185" t="s">
        <v>85</v>
      </c>
      <c r="D185" t="s">
        <v>94</v>
      </c>
      <c r="E185" t="s">
        <v>56</v>
      </c>
      <c r="F185" t="s">
        <v>66</v>
      </c>
      <c r="G185" t="s">
        <v>67</v>
      </c>
      <c r="H185" t="s">
        <v>59</v>
      </c>
      <c r="I185" t="s">
        <v>80</v>
      </c>
      <c r="J185" s="2">
        <v>13.9</v>
      </c>
      <c r="K185" s="2">
        <v>48</v>
      </c>
      <c r="L185" t="s">
        <v>69</v>
      </c>
      <c r="M185">
        <v>4</v>
      </c>
      <c r="N185">
        <v>1</v>
      </c>
      <c r="O185">
        <v>1</v>
      </c>
    </row>
    <row r="186" spans="1:15">
      <c r="A186" t="s">
        <v>282</v>
      </c>
      <c r="B186" s="1">
        <v>46154</v>
      </c>
      <c r="C186" t="s">
        <v>63</v>
      </c>
      <c r="D186" t="s">
        <v>55</v>
      </c>
      <c r="E186" t="s">
        <v>56</v>
      </c>
      <c r="F186" t="s">
        <v>78</v>
      </c>
      <c r="G186" t="s">
        <v>79</v>
      </c>
      <c r="H186" t="s">
        <v>59</v>
      </c>
      <c r="I186" t="s">
        <v>119</v>
      </c>
      <c r="J186" s="2">
        <v>36.5</v>
      </c>
      <c r="K186" s="2">
        <v>48</v>
      </c>
      <c r="L186" t="s">
        <v>69</v>
      </c>
      <c r="M186">
        <v>5</v>
      </c>
      <c r="N186">
        <v>1</v>
      </c>
      <c r="O186">
        <v>1</v>
      </c>
    </row>
    <row r="187" spans="1:15">
      <c r="A187" t="s">
        <v>283</v>
      </c>
      <c r="B187" s="1">
        <v>46047</v>
      </c>
      <c r="C187" t="s">
        <v>85</v>
      </c>
      <c r="D187" t="s">
        <v>106</v>
      </c>
      <c r="E187" t="s">
        <v>107</v>
      </c>
      <c r="F187" t="s">
        <v>78</v>
      </c>
      <c r="G187" t="s">
        <v>58</v>
      </c>
      <c r="H187" t="s">
        <v>59</v>
      </c>
      <c r="I187" t="s">
        <v>115</v>
      </c>
      <c r="J187" s="2">
        <v>75.599999999999994</v>
      </c>
      <c r="K187" s="2">
        <v>48</v>
      </c>
      <c r="L187" t="s">
        <v>61</v>
      </c>
      <c r="M187">
        <v>2</v>
      </c>
      <c r="N187">
        <v>1</v>
      </c>
      <c r="O187">
        <v>0</v>
      </c>
    </row>
    <row r="188" spans="1:15">
      <c r="A188" t="s">
        <v>284</v>
      </c>
      <c r="B188" s="1">
        <v>46138</v>
      </c>
      <c r="C188" t="s">
        <v>82</v>
      </c>
      <c r="D188" t="s">
        <v>72</v>
      </c>
      <c r="E188" t="s">
        <v>73</v>
      </c>
      <c r="F188" t="s">
        <v>74</v>
      </c>
      <c r="G188" t="s">
        <v>58</v>
      </c>
      <c r="H188" t="s">
        <v>86</v>
      </c>
      <c r="I188" t="s">
        <v>87</v>
      </c>
      <c r="J188" s="2">
        <v>16.3</v>
      </c>
      <c r="K188" s="2">
        <v>24</v>
      </c>
      <c r="L188" t="s">
        <v>69</v>
      </c>
      <c r="M188">
        <v>4</v>
      </c>
      <c r="N188">
        <v>1</v>
      </c>
      <c r="O188">
        <v>1</v>
      </c>
    </row>
    <row r="189" spans="1:15">
      <c r="A189" t="s">
        <v>285</v>
      </c>
      <c r="B189" s="1">
        <v>46034</v>
      </c>
      <c r="C189" t="s">
        <v>85</v>
      </c>
      <c r="D189" t="s">
        <v>99</v>
      </c>
      <c r="E189" t="s">
        <v>100</v>
      </c>
      <c r="F189" t="s">
        <v>78</v>
      </c>
      <c r="G189" t="s">
        <v>75</v>
      </c>
      <c r="H189" t="s">
        <v>92</v>
      </c>
      <c r="I189" t="s">
        <v>111</v>
      </c>
      <c r="J189" s="2">
        <v>111.5</v>
      </c>
      <c r="K189" s="2">
        <v>72</v>
      </c>
      <c r="L189" t="s">
        <v>61</v>
      </c>
      <c r="M189">
        <v>2</v>
      </c>
      <c r="N189">
        <v>1</v>
      </c>
      <c r="O189">
        <v>0</v>
      </c>
    </row>
    <row r="190" spans="1:15">
      <c r="A190" t="s">
        <v>286</v>
      </c>
      <c r="B190" s="1">
        <v>46124</v>
      </c>
      <c r="C190" t="s">
        <v>82</v>
      </c>
      <c r="D190" t="s">
        <v>64</v>
      </c>
      <c r="E190" t="s">
        <v>65</v>
      </c>
      <c r="F190" t="s">
        <v>66</v>
      </c>
      <c r="G190" t="s">
        <v>67</v>
      </c>
      <c r="H190" t="s">
        <v>59</v>
      </c>
      <c r="I190" t="s">
        <v>109</v>
      </c>
      <c r="J190" s="2">
        <v>76.400000000000006</v>
      </c>
      <c r="K190" s="2">
        <v>48</v>
      </c>
      <c r="L190" t="s">
        <v>61</v>
      </c>
      <c r="M190">
        <v>4</v>
      </c>
      <c r="N190">
        <v>1</v>
      </c>
      <c r="O190">
        <v>0</v>
      </c>
    </row>
    <row r="191" spans="1:15">
      <c r="A191" t="s">
        <v>287</v>
      </c>
      <c r="B191" s="1">
        <v>46052</v>
      </c>
      <c r="C191" t="s">
        <v>85</v>
      </c>
      <c r="D191" t="s">
        <v>72</v>
      </c>
      <c r="E191" t="s">
        <v>73</v>
      </c>
      <c r="F191" t="s">
        <v>66</v>
      </c>
      <c r="G191" t="s">
        <v>58</v>
      </c>
      <c r="H191" t="s">
        <v>59</v>
      </c>
      <c r="I191" t="s">
        <v>68</v>
      </c>
      <c r="J191" s="2">
        <v>55.2</v>
      </c>
      <c r="K191" s="2">
        <v>48</v>
      </c>
      <c r="L191" t="s">
        <v>61</v>
      </c>
      <c r="M191">
        <v>2</v>
      </c>
      <c r="N191">
        <v>1</v>
      </c>
      <c r="O191">
        <v>0</v>
      </c>
    </row>
    <row r="192" spans="1:15">
      <c r="A192" t="s">
        <v>288</v>
      </c>
      <c r="B192" s="1">
        <v>46157</v>
      </c>
      <c r="C192" t="s">
        <v>63</v>
      </c>
      <c r="D192" t="s">
        <v>64</v>
      </c>
      <c r="E192" t="s">
        <v>65</v>
      </c>
      <c r="F192" t="s">
        <v>78</v>
      </c>
      <c r="G192" t="s">
        <v>67</v>
      </c>
      <c r="H192" t="s">
        <v>86</v>
      </c>
      <c r="I192" t="s">
        <v>76</v>
      </c>
      <c r="J192" s="2">
        <v>36.9</v>
      </c>
      <c r="K192" s="2">
        <v>24</v>
      </c>
      <c r="L192" t="s">
        <v>61</v>
      </c>
      <c r="M192">
        <v>3</v>
      </c>
      <c r="N192">
        <v>1</v>
      </c>
      <c r="O192">
        <v>0</v>
      </c>
    </row>
    <row r="193" spans="1:15">
      <c r="A193" t="s">
        <v>289</v>
      </c>
      <c r="B193" s="1">
        <v>46167</v>
      </c>
      <c r="C193" t="s">
        <v>63</v>
      </c>
      <c r="D193" t="s">
        <v>89</v>
      </c>
      <c r="E193" t="s">
        <v>90</v>
      </c>
      <c r="F193" t="s">
        <v>66</v>
      </c>
      <c r="G193" t="s">
        <v>58</v>
      </c>
      <c r="H193" t="s">
        <v>59</v>
      </c>
      <c r="I193" t="s">
        <v>115</v>
      </c>
      <c r="J193" s="2">
        <v>5</v>
      </c>
      <c r="K193" s="2">
        <v>48</v>
      </c>
      <c r="L193" t="s">
        <v>69</v>
      </c>
      <c r="M193">
        <v>5</v>
      </c>
      <c r="N193">
        <v>1</v>
      </c>
      <c r="O193">
        <v>1</v>
      </c>
    </row>
    <row r="194" spans="1:15">
      <c r="A194" t="s">
        <v>290</v>
      </c>
      <c r="B194" s="1">
        <v>46157</v>
      </c>
      <c r="C194" t="s">
        <v>63</v>
      </c>
      <c r="D194" t="s">
        <v>64</v>
      </c>
      <c r="E194" t="s">
        <v>65</v>
      </c>
      <c r="F194" t="s">
        <v>78</v>
      </c>
      <c r="G194" t="s">
        <v>75</v>
      </c>
      <c r="H194" t="s">
        <v>59</v>
      </c>
      <c r="I194" t="s">
        <v>119</v>
      </c>
      <c r="J194" s="2">
        <v>70.8</v>
      </c>
      <c r="K194" s="2">
        <v>48</v>
      </c>
      <c r="L194" t="s">
        <v>61</v>
      </c>
      <c r="M194">
        <v>2</v>
      </c>
      <c r="N194">
        <v>1</v>
      </c>
      <c r="O194">
        <v>0</v>
      </c>
    </row>
    <row r="195" spans="1:15">
      <c r="A195" t="s">
        <v>291</v>
      </c>
      <c r="B195" s="1">
        <v>46053</v>
      </c>
      <c r="C195" t="s">
        <v>85</v>
      </c>
      <c r="D195" t="s">
        <v>72</v>
      </c>
      <c r="E195" t="s">
        <v>73</v>
      </c>
      <c r="F195" t="s">
        <v>78</v>
      </c>
      <c r="G195" t="s">
        <v>79</v>
      </c>
      <c r="H195" t="s">
        <v>86</v>
      </c>
      <c r="I195" t="s">
        <v>109</v>
      </c>
      <c r="J195" s="2">
        <v>4.4000000000000004</v>
      </c>
      <c r="K195" s="2">
        <v>24</v>
      </c>
      <c r="L195" t="s">
        <v>69</v>
      </c>
      <c r="M195">
        <v>4</v>
      </c>
      <c r="N195">
        <v>1</v>
      </c>
      <c r="O195">
        <v>1</v>
      </c>
    </row>
    <row r="196" spans="1:15">
      <c r="A196" t="s">
        <v>292</v>
      </c>
      <c r="B196" s="1">
        <v>46093</v>
      </c>
      <c r="C196" t="s">
        <v>54</v>
      </c>
      <c r="D196" t="s">
        <v>94</v>
      </c>
      <c r="E196" t="s">
        <v>56</v>
      </c>
      <c r="F196" t="s">
        <v>78</v>
      </c>
      <c r="G196" t="s">
        <v>75</v>
      </c>
      <c r="H196" t="s">
        <v>59</v>
      </c>
      <c r="I196" t="s">
        <v>60</v>
      </c>
      <c r="J196" s="2">
        <v>63.1</v>
      </c>
      <c r="K196" s="2">
        <v>48</v>
      </c>
      <c r="L196" t="s">
        <v>61</v>
      </c>
      <c r="M196">
        <v>3</v>
      </c>
      <c r="N196">
        <v>1</v>
      </c>
      <c r="O196">
        <v>0</v>
      </c>
    </row>
    <row r="197" spans="1:15">
      <c r="A197" t="s">
        <v>293</v>
      </c>
      <c r="B197" s="1">
        <v>46084</v>
      </c>
      <c r="C197" t="s">
        <v>54</v>
      </c>
      <c r="D197" t="s">
        <v>64</v>
      </c>
      <c r="E197" t="s">
        <v>65</v>
      </c>
      <c r="F197" t="s">
        <v>66</v>
      </c>
      <c r="G197" t="s">
        <v>75</v>
      </c>
      <c r="H197" t="s">
        <v>86</v>
      </c>
      <c r="I197" t="s">
        <v>115</v>
      </c>
      <c r="J197" s="2">
        <v>30.7</v>
      </c>
      <c r="K197" s="2">
        <v>24</v>
      </c>
      <c r="L197" t="s">
        <v>61</v>
      </c>
      <c r="M197">
        <v>3</v>
      </c>
      <c r="N197">
        <v>1</v>
      </c>
      <c r="O197">
        <v>0</v>
      </c>
    </row>
    <row r="198" spans="1:15">
      <c r="A198" t="s">
        <v>294</v>
      </c>
      <c r="B198" s="1">
        <v>46200</v>
      </c>
      <c r="C198" t="s">
        <v>104</v>
      </c>
      <c r="D198" t="s">
        <v>106</v>
      </c>
      <c r="E198" t="s">
        <v>107</v>
      </c>
      <c r="F198" t="s">
        <v>74</v>
      </c>
      <c r="G198" t="s">
        <v>75</v>
      </c>
      <c r="H198" t="s">
        <v>92</v>
      </c>
      <c r="I198" t="s">
        <v>115</v>
      </c>
      <c r="J198" s="2">
        <v>65.7</v>
      </c>
      <c r="K198" s="2">
        <v>72</v>
      </c>
      <c r="L198" t="s">
        <v>69</v>
      </c>
      <c r="M198">
        <v>1</v>
      </c>
      <c r="N198">
        <v>1</v>
      </c>
      <c r="O198">
        <v>1</v>
      </c>
    </row>
    <row r="199" spans="1:15">
      <c r="A199" t="s">
        <v>295</v>
      </c>
      <c r="B199" s="1">
        <v>46165</v>
      </c>
      <c r="C199" t="s">
        <v>63</v>
      </c>
      <c r="D199" t="s">
        <v>106</v>
      </c>
      <c r="E199" t="s">
        <v>107</v>
      </c>
      <c r="F199" t="s">
        <v>57</v>
      </c>
      <c r="G199" t="s">
        <v>79</v>
      </c>
      <c r="H199" t="s">
        <v>59</v>
      </c>
      <c r="I199" t="s">
        <v>109</v>
      </c>
      <c r="J199" s="2">
        <v>17.399999999999999</v>
      </c>
      <c r="K199" s="2">
        <v>48</v>
      </c>
      <c r="L199" t="s">
        <v>69</v>
      </c>
      <c r="M199">
        <v>3</v>
      </c>
      <c r="N199">
        <v>1</v>
      </c>
      <c r="O199">
        <v>1</v>
      </c>
    </row>
    <row r="200" spans="1:15">
      <c r="A200" t="s">
        <v>296</v>
      </c>
      <c r="B200" s="1">
        <v>46124</v>
      </c>
      <c r="C200" t="s">
        <v>82</v>
      </c>
      <c r="D200" t="s">
        <v>55</v>
      </c>
      <c r="E200" t="s">
        <v>56</v>
      </c>
      <c r="F200" t="s">
        <v>74</v>
      </c>
      <c r="G200" t="s">
        <v>75</v>
      </c>
      <c r="H200" t="s">
        <v>86</v>
      </c>
      <c r="I200" t="s">
        <v>111</v>
      </c>
      <c r="J200" s="2">
        <v>10.5</v>
      </c>
      <c r="K200" s="2">
        <v>24</v>
      </c>
      <c r="L200" t="s">
        <v>69</v>
      </c>
      <c r="M200">
        <v>5</v>
      </c>
      <c r="N200">
        <v>1</v>
      </c>
      <c r="O200">
        <v>1</v>
      </c>
    </row>
    <row r="201" spans="1:15">
      <c r="A201" t="s">
        <v>297</v>
      </c>
      <c r="B201" s="1">
        <v>46129</v>
      </c>
      <c r="C201" t="s">
        <v>82</v>
      </c>
      <c r="D201" t="s">
        <v>55</v>
      </c>
      <c r="E201" t="s">
        <v>56</v>
      </c>
      <c r="F201" t="s">
        <v>78</v>
      </c>
      <c r="G201" t="s">
        <v>67</v>
      </c>
      <c r="H201" t="s">
        <v>86</v>
      </c>
      <c r="I201" t="s">
        <v>87</v>
      </c>
      <c r="J201" s="2">
        <v>18.899999999999999</v>
      </c>
      <c r="K201" s="2">
        <v>24</v>
      </c>
      <c r="L201" t="s">
        <v>69</v>
      </c>
      <c r="M201">
        <v>5</v>
      </c>
      <c r="N201">
        <v>1</v>
      </c>
      <c r="O201">
        <v>1</v>
      </c>
    </row>
    <row r="202" spans="1:15">
      <c r="A202" t="s">
        <v>298</v>
      </c>
      <c r="B202" s="1">
        <v>46127</v>
      </c>
      <c r="C202" t="s">
        <v>82</v>
      </c>
      <c r="D202" t="s">
        <v>55</v>
      </c>
      <c r="E202" t="s">
        <v>56</v>
      </c>
      <c r="F202" t="s">
        <v>78</v>
      </c>
      <c r="G202" t="s">
        <v>58</v>
      </c>
      <c r="H202" t="s">
        <v>59</v>
      </c>
      <c r="I202" t="s">
        <v>76</v>
      </c>
      <c r="J202" s="2">
        <v>32.4</v>
      </c>
      <c r="K202" s="2">
        <v>48</v>
      </c>
      <c r="L202" t="s">
        <v>69</v>
      </c>
      <c r="M202">
        <v>4</v>
      </c>
      <c r="N202">
        <v>1</v>
      </c>
      <c r="O202">
        <v>1</v>
      </c>
    </row>
    <row r="203" spans="1:15">
      <c r="A203" t="s">
        <v>299</v>
      </c>
      <c r="B203" s="1">
        <v>46192</v>
      </c>
      <c r="C203" t="s">
        <v>104</v>
      </c>
      <c r="D203" t="s">
        <v>106</v>
      </c>
      <c r="E203" t="s">
        <v>107</v>
      </c>
      <c r="F203" t="s">
        <v>66</v>
      </c>
      <c r="G203" t="s">
        <v>75</v>
      </c>
      <c r="H203" t="s">
        <v>121</v>
      </c>
      <c r="I203" t="s">
        <v>87</v>
      </c>
      <c r="J203" s="2">
        <v>4.5999999999999996</v>
      </c>
      <c r="K203" s="2">
        <v>8</v>
      </c>
      <c r="L203" t="s">
        <v>69</v>
      </c>
      <c r="M203">
        <v>4</v>
      </c>
      <c r="N203">
        <v>1</v>
      </c>
      <c r="O203">
        <v>1</v>
      </c>
    </row>
    <row r="204" spans="1:15">
      <c r="A204" t="s">
        <v>300</v>
      </c>
      <c r="B204" s="1">
        <v>46038</v>
      </c>
      <c r="C204" t="s">
        <v>85</v>
      </c>
      <c r="D204" t="s">
        <v>99</v>
      </c>
      <c r="E204" t="s">
        <v>100</v>
      </c>
      <c r="F204" t="s">
        <v>57</v>
      </c>
      <c r="G204" t="s">
        <v>79</v>
      </c>
      <c r="H204" t="s">
        <v>59</v>
      </c>
      <c r="I204" t="s">
        <v>83</v>
      </c>
      <c r="J204" s="2">
        <v>41.1</v>
      </c>
      <c r="K204" s="2">
        <v>48</v>
      </c>
      <c r="L204" t="s">
        <v>69</v>
      </c>
      <c r="M204">
        <v>4</v>
      </c>
      <c r="N204">
        <v>1</v>
      </c>
      <c r="O204">
        <v>1</v>
      </c>
    </row>
    <row r="205" spans="1:15">
      <c r="A205" t="s">
        <v>301</v>
      </c>
      <c r="B205" s="1">
        <v>46124</v>
      </c>
      <c r="C205" t="s">
        <v>82</v>
      </c>
      <c r="D205" t="s">
        <v>106</v>
      </c>
      <c r="E205" t="s">
        <v>107</v>
      </c>
      <c r="F205" t="s">
        <v>78</v>
      </c>
      <c r="G205" t="s">
        <v>79</v>
      </c>
      <c r="H205" t="s">
        <v>59</v>
      </c>
      <c r="I205" t="s">
        <v>83</v>
      </c>
      <c r="J205" s="2">
        <v>76.8</v>
      </c>
      <c r="K205" s="2">
        <v>48</v>
      </c>
      <c r="L205" t="s">
        <v>61</v>
      </c>
      <c r="M205">
        <v>4</v>
      </c>
      <c r="N205">
        <v>1</v>
      </c>
      <c r="O205">
        <v>0</v>
      </c>
    </row>
    <row r="206" spans="1:15">
      <c r="A206" t="s">
        <v>302</v>
      </c>
      <c r="B206" s="1">
        <v>46106</v>
      </c>
      <c r="C206" t="s">
        <v>54</v>
      </c>
      <c r="D206" t="s">
        <v>89</v>
      </c>
      <c r="E206" t="s">
        <v>90</v>
      </c>
      <c r="F206" t="s">
        <v>74</v>
      </c>
      <c r="G206" t="s">
        <v>67</v>
      </c>
      <c r="H206" t="s">
        <v>86</v>
      </c>
      <c r="I206" t="s">
        <v>60</v>
      </c>
      <c r="J206" s="2">
        <v>34.4</v>
      </c>
      <c r="K206" s="2">
        <v>24</v>
      </c>
      <c r="L206" t="s">
        <v>61</v>
      </c>
      <c r="M206">
        <v>4</v>
      </c>
      <c r="N206">
        <v>1</v>
      </c>
      <c r="O206">
        <v>0</v>
      </c>
    </row>
    <row r="207" spans="1:15">
      <c r="A207" t="s">
        <v>303</v>
      </c>
      <c r="B207" s="1">
        <v>46191</v>
      </c>
      <c r="C207" t="s">
        <v>104</v>
      </c>
      <c r="D207" t="s">
        <v>96</v>
      </c>
      <c r="E207" t="s">
        <v>97</v>
      </c>
      <c r="F207" t="s">
        <v>74</v>
      </c>
      <c r="G207" t="s">
        <v>79</v>
      </c>
      <c r="H207" t="s">
        <v>59</v>
      </c>
      <c r="I207" t="s">
        <v>76</v>
      </c>
      <c r="J207" s="2">
        <v>55.5</v>
      </c>
      <c r="K207" s="2">
        <v>48</v>
      </c>
      <c r="L207" t="s">
        <v>61</v>
      </c>
      <c r="M207">
        <v>2</v>
      </c>
      <c r="N207">
        <v>1</v>
      </c>
      <c r="O207">
        <v>0</v>
      </c>
    </row>
    <row r="208" spans="1:15">
      <c r="A208" t="s">
        <v>304</v>
      </c>
      <c r="B208" s="1">
        <v>46103</v>
      </c>
      <c r="C208" t="s">
        <v>54</v>
      </c>
      <c r="D208" t="s">
        <v>72</v>
      </c>
      <c r="E208" t="s">
        <v>73</v>
      </c>
      <c r="F208" t="s">
        <v>78</v>
      </c>
      <c r="G208" t="s">
        <v>67</v>
      </c>
      <c r="H208" t="s">
        <v>59</v>
      </c>
      <c r="I208" t="s">
        <v>76</v>
      </c>
      <c r="J208" s="2">
        <v>34</v>
      </c>
      <c r="K208" s="2">
        <v>48</v>
      </c>
      <c r="L208" t="s">
        <v>69</v>
      </c>
      <c r="M208">
        <v>3</v>
      </c>
      <c r="N208">
        <v>1</v>
      </c>
      <c r="O208">
        <v>1</v>
      </c>
    </row>
    <row r="209" spans="1:15">
      <c r="A209" t="s">
        <v>305</v>
      </c>
      <c r="B209" s="1">
        <v>46031</v>
      </c>
      <c r="C209" t="s">
        <v>85</v>
      </c>
      <c r="D209" t="s">
        <v>99</v>
      </c>
      <c r="E209" t="s">
        <v>100</v>
      </c>
      <c r="F209" t="s">
        <v>57</v>
      </c>
      <c r="G209" t="s">
        <v>58</v>
      </c>
      <c r="H209" t="s">
        <v>59</v>
      </c>
      <c r="I209" t="s">
        <v>119</v>
      </c>
      <c r="J209" s="2">
        <v>57.5</v>
      </c>
      <c r="K209" s="2">
        <v>48</v>
      </c>
      <c r="L209" t="s">
        <v>61</v>
      </c>
      <c r="M209">
        <v>1</v>
      </c>
      <c r="N209">
        <v>1</v>
      </c>
      <c r="O209">
        <v>0</v>
      </c>
    </row>
    <row r="210" spans="1:15">
      <c r="A210" t="s">
        <v>306</v>
      </c>
      <c r="B210" s="1">
        <v>46118</v>
      </c>
      <c r="C210" t="s">
        <v>82</v>
      </c>
      <c r="D210" t="s">
        <v>72</v>
      </c>
      <c r="E210" t="s">
        <v>73</v>
      </c>
      <c r="F210" t="s">
        <v>78</v>
      </c>
      <c r="G210" t="s">
        <v>79</v>
      </c>
      <c r="H210" t="s">
        <v>59</v>
      </c>
      <c r="I210" t="s">
        <v>68</v>
      </c>
      <c r="J210" s="2">
        <v>33.6</v>
      </c>
      <c r="K210" s="2">
        <v>48</v>
      </c>
      <c r="L210" t="s">
        <v>69</v>
      </c>
      <c r="M210">
        <v>5</v>
      </c>
      <c r="N210">
        <v>1</v>
      </c>
      <c r="O210">
        <v>1</v>
      </c>
    </row>
    <row r="211" spans="1:15">
      <c r="A211" t="s">
        <v>307</v>
      </c>
      <c r="B211" s="1">
        <v>46163</v>
      </c>
      <c r="C211" t="s">
        <v>63</v>
      </c>
      <c r="D211" t="s">
        <v>106</v>
      </c>
      <c r="E211" t="s">
        <v>107</v>
      </c>
      <c r="F211" t="s">
        <v>57</v>
      </c>
      <c r="G211" t="s">
        <v>75</v>
      </c>
      <c r="H211" t="s">
        <v>59</v>
      </c>
      <c r="I211" t="s">
        <v>111</v>
      </c>
      <c r="J211" s="2">
        <v>10.3</v>
      </c>
      <c r="K211" s="2">
        <v>48</v>
      </c>
      <c r="L211" t="s">
        <v>69</v>
      </c>
      <c r="M211">
        <v>5</v>
      </c>
      <c r="N211">
        <v>1</v>
      </c>
      <c r="O211">
        <v>1</v>
      </c>
    </row>
    <row r="212" spans="1:15">
      <c r="A212" t="s">
        <v>308</v>
      </c>
      <c r="B212" s="1">
        <v>46125</v>
      </c>
      <c r="C212" t="s">
        <v>82</v>
      </c>
      <c r="D212" t="s">
        <v>106</v>
      </c>
      <c r="E212" t="s">
        <v>107</v>
      </c>
      <c r="F212" t="s">
        <v>74</v>
      </c>
      <c r="G212" t="s">
        <v>58</v>
      </c>
      <c r="H212" t="s">
        <v>59</v>
      </c>
      <c r="I212" t="s">
        <v>68</v>
      </c>
      <c r="J212" s="2">
        <v>13.5</v>
      </c>
      <c r="K212" s="2">
        <v>48</v>
      </c>
      <c r="L212" t="s">
        <v>69</v>
      </c>
      <c r="M212">
        <v>5</v>
      </c>
      <c r="N212">
        <v>1</v>
      </c>
      <c r="O212">
        <v>1</v>
      </c>
    </row>
    <row r="213" spans="1:15">
      <c r="A213" t="s">
        <v>309</v>
      </c>
      <c r="B213" s="1">
        <v>46203</v>
      </c>
      <c r="C213" t="s">
        <v>104</v>
      </c>
      <c r="D213" t="s">
        <v>96</v>
      </c>
      <c r="E213" t="s">
        <v>97</v>
      </c>
      <c r="F213" t="s">
        <v>78</v>
      </c>
      <c r="G213" t="s">
        <v>75</v>
      </c>
      <c r="H213" t="s">
        <v>86</v>
      </c>
      <c r="I213" t="s">
        <v>109</v>
      </c>
      <c r="J213" s="2">
        <v>2.8</v>
      </c>
      <c r="K213" s="2">
        <v>24</v>
      </c>
      <c r="L213" t="s">
        <v>69</v>
      </c>
      <c r="M213">
        <v>4</v>
      </c>
      <c r="N213">
        <v>1</v>
      </c>
      <c r="O213">
        <v>1</v>
      </c>
    </row>
    <row r="214" spans="1:15">
      <c r="A214" t="s">
        <v>310</v>
      </c>
      <c r="B214" s="1">
        <v>46112</v>
      </c>
      <c r="C214" t="s">
        <v>54</v>
      </c>
      <c r="D214" t="s">
        <v>96</v>
      </c>
      <c r="E214" t="s">
        <v>97</v>
      </c>
      <c r="F214" t="s">
        <v>57</v>
      </c>
      <c r="G214" t="s">
        <v>58</v>
      </c>
      <c r="H214" t="s">
        <v>92</v>
      </c>
      <c r="I214" t="s">
        <v>60</v>
      </c>
      <c r="J214" s="2">
        <v>95.4</v>
      </c>
      <c r="K214" s="2">
        <v>72</v>
      </c>
      <c r="L214" t="s">
        <v>61</v>
      </c>
      <c r="M214">
        <v>4</v>
      </c>
      <c r="N214">
        <v>1</v>
      </c>
      <c r="O214">
        <v>0</v>
      </c>
    </row>
    <row r="215" spans="1:15">
      <c r="A215" t="s">
        <v>311</v>
      </c>
      <c r="B215" s="1">
        <v>46032</v>
      </c>
      <c r="C215" t="s">
        <v>85</v>
      </c>
      <c r="D215" t="s">
        <v>96</v>
      </c>
      <c r="E215" t="s">
        <v>97</v>
      </c>
      <c r="F215" t="s">
        <v>78</v>
      </c>
      <c r="G215" t="s">
        <v>75</v>
      </c>
      <c r="H215" t="s">
        <v>92</v>
      </c>
      <c r="I215" t="s">
        <v>87</v>
      </c>
      <c r="J215" s="2">
        <v>44.1</v>
      </c>
      <c r="K215" s="2">
        <v>72</v>
      </c>
      <c r="L215" t="s">
        <v>69</v>
      </c>
      <c r="M215">
        <v>5</v>
      </c>
      <c r="N215">
        <v>1</v>
      </c>
      <c r="O215">
        <v>1</v>
      </c>
    </row>
    <row r="216" spans="1:15">
      <c r="A216" t="s">
        <v>312</v>
      </c>
      <c r="B216" s="1">
        <v>46105</v>
      </c>
      <c r="C216" t="s">
        <v>54</v>
      </c>
      <c r="D216" t="s">
        <v>94</v>
      </c>
      <c r="E216" t="s">
        <v>56</v>
      </c>
      <c r="F216" t="s">
        <v>57</v>
      </c>
      <c r="G216" t="s">
        <v>75</v>
      </c>
      <c r="H216" t="s">
        <v>59</v>
      </c>
      <c r="I216" t="s">
        <v>115</v>
      </c>
      <c r="J216" s="2">
        <v>43.8</v>
      </c>
      <c r="K216" s="2">
        <v>48</v>
      </c>
      <c r="L216" t="s">
        <v>69</v>
      </c>
      <c r="M216">
        <v>5</v>
      </c>
      <c r="N216">
        <v>1</v>
      </c>
      <c r="O216">
        <v>1</v>
      </c>
    </row>
    <row r="217" spans="1:15">
      <c r="A217" t="s">
        <v>313</v>
      </c>
      <c r="B217" s="1">
        <v>46202</v>
      </c>
      <c r="C217" t="s">
        <v>104</v>
      </c>
      <c r="D217" t="s">
        <v>64</v>
      </c>
      <c r="E217" t="s">
        <v>65</v>
      </c>
      <c r="F217" t="s">
        <v>66</v>
      </c>
      <c r="G217" t="s">
        <v>75</v>
      </c>
      <c r="H217" t="s">
        <v>92</v>
      </c>
      <c r="I217" t="s">
        <v>83</v>
      </c>
      <c r="J217" s="2">
        <v>82.2</v>
      </c>
      <c r="K217" s="2">
        <v>72</v>
      </c>
      <c r="L217" t="s">
        <v>61</v>
      </c>
      <c r="M217">
        <v>3</v>
      </c>
      <c r="N217">
        <v>1</v>
      </c>
      <c r="O217">
        <v>0</v>
      </c>
    </row>
    <row r="218" spans="1:15">
      <c r="A218" t="s">
        <v>314</v>
      </c>
      <c r="B218" s="1">
        <v>46172</v>
      </c>
      <c r="C218" t="s">
        <v>63</v>
      </c>
      <c r="D218" t="s">
        <v>72</v>
      </c>
      <c r="E218" t="s">
        <v>73</v>
      </c>
      <c r="F218" t="s">
        <v>66</v>
      </c>
      <c r="G218" t="s">
        <v>58</v>
      </c>
      <c r="H218" t="s">
        <v>86</v>
      </c>
      <c r="I218" t="s">
        <v>109</v>
      </c>
      <c r="J218" s="2">
        <v>13.6</v>
      </c>
      <c r="K218" s="2">
        <v>24</v>
      </c>
      <c r="L218" t="s">
        <v>69</v>
      </c>
      <c r="M218">
        <v>5</v>
      </c>
      <c r="N218">
        <v>1</v>
      </c>
      <c r="O218">
        <v>1</v>
      </c>
    </row>
    <row r="219" spans="1:15">
      <c r="A219" t="s">
        <v>315</v>
      </c>
      <c r="B219" s="1">
        <v>46045</v>
      </c>
      <c r="C219" t="s">
        <v>85</v>
      </c>
      <c r="D219" t="s">
        <v>55</v>
      </c>
      <c r="E219" t="s">
        <v>56</v>
      </c>
      <c r="F219" t="s">
        <v>78</v>
      </c>
      <c r="G219" t="s">
        <v>79</v>
      </c>
      <c r="H219" t="s">
        <v>86</v>
      </c>
      <c r="I219" t="s">
        <v>68</v>
      </c>
      <c r="J219" s="2">
        <v>2.8</v>
      </c>
      <c r="K219" s="2">
        <v>24</v>
      </c>
      <c r="L219" t="s">
        <v>69</v>
      </c>
      <c r="M219">
        <v>5</v>
      </c>
      <c r="N219">
        <v>1</v>
      </c>
      <c r="O219">
        <v>1</v>
      </c>
    </row>
    <row r="220" spans="1:15">
      <c r="A220" t="s">
        <v>316</v>
      </c>
      <c r="B220" s="1">
        <v>46182</v>
      </c>
      <c r="C220" t="s">
        <v>104</v>
      </c>
      <c r="D220" t="s">
        <v>72</v>
      </c>
      <c r="E220" t="s">
        <v>73</v>
      </c>
      <c r="F220" t="s">
        <v>57</v>
      </c>
      <c r="G220" t="s">
        <v>58</v>
      </c>
      <c r="H220" t="s">
        <v>121</v>
      </c>
      <c r="I220" t="s">
        <v>76</v>
      </c>
      <c r="J220" s="2">
        <v>6.3</v>
      </c>
      <c r="K220" s="2">
        <v>8</v>
      </c>
      <c r="L220" t="s">
        <v>69</v>
      </c>
      <c r="M220">
        <v>3</v>
      </c>
      <c r="N220">
        <v>1</v>
      </c>
      <c r="O220">
        <v>1</v>
      </c>
    </row>
    <row r="221" spans="1:15">
      <c r="A221" t="s">
        <v>317</v>
      </c>
      <c r="B221" s="1">
        <v>46203</v>
      </c>
      <c r="C221" t="s">
        <v>104</v>
      </c>
      <c r="D221" t="s">
        <v>106</v>
      </c>
      <c r="E221" t="s">
        <v>107</v>
      </c>
      <c r="F221" t="s">
        <v>66</v>
      </c>
      <c r="G221" t="s">
        <v>58</v>
      </c>
      <c r="H221" t="s">
        <v>59</v>
      </c>
      <c r="I221" t="s">
        <v>76</v>
      </c>
      <c r="J221" s="2">
        <v>33.700000000000003</v>
      </c>
      <c r="K221" s="2">
        <v>48</v>
      </c>
      <c r="L221" t="s">
        <v>69</v>
      </c>
      <c r="M221">
        <v>5</v>
      </c>
      <c r="N221">
        <v>1</v>
      </c>
      <c r="O221">
        <v>1</v>
      </c>
    </row>
    <row r="222" spans="1:15">
      <c r="A222" t="s">
        <v>318</v>
      </c>
      <c r="B222" s="1">
        <v>46092</v>
      </c>
      <c r="C222" t="s">
        <v>54</v>
      </c>
      <c r="D222" t="s">
        <v>99</v>
      </c>
      <c r="E222" t="s">
        <v>100</v>
      </c>
      <c r="F222" t="s">
        <v>74</v>
      </c>
      <c r="G222" t="s">
        <v>79</v>
      </c>
      <c r="H222" t="s">
        <v>59</v>
      </c>
      <c r="I222" t="s">
        <v>87</v>
      </c>
      <c r="J222" s="2">
        <v>5.0999999999999996</v>
      </c>
      <c r="K222" s="2">
        <v>48</v>
      </c>
      <c r="L222" t="s">
        <v>69</v>
      </c>
      <c r="M222">
        <v>5</v>
      </c>
      <c r="N222">
        <v>1</v>
      </c>
      <c r="O222">
        <v>1</v>
      </c>
    </row>
    <row r="223" spans="1:15">
      <c r="A223" t="s">
        <v>319</v>
      </c>
      <c r="B223" s="1">
        <v>46142</v>
      </c>
      <c r="C223" t="s">
        <v>82</v>
      </c>
      <c r="D223" t="s">
        <v>99</v>
      </c>
      <c r="E223" t="s">
        <v>100</v>
      </c>
      <c r="F223" t="s">
        <v>74</v>
      </c>
      <c r="G223" t="s">
        <v>79</v>
      </c>
      <c r="H223" t="s">
        <v>86</v>
      </c>
      <c r="I223" t="s">
        <v>119</v>
      </c>
      <c r="J223" s="2">
        <v>20.399999999999999</v>
      </c>
      <c r="K223" s="2">
        <v>24</v>
      </c>
      <c r="L223" t="s">
        <v>69</v>
      </c>
      <c r="M223">
        <v>4</v>
      </c>
      <c r="N223">
        <v>1</v>
      </c>
      <c r="O223">
        <v>1</v>
      </c>
    </row>
    <row r="224" spans="1:15">
      <c r="A224" t="s">
        <v>320</v>
      </c>
      <c r="B224" s="1">
        <v>46077</v>
      </c>
      <c r="C224" t="s">
        <v>71</v>
      </c>
      <c r="D224" t="s">
        <v>99</v>
      </c>
      <c r="E224" t="s">
        <v>100</v>
      </c>
      <c r="F224" t="s">
        <v>78</v>
      </c>
      <c r="G224" t="s">
        <v>79</v>
      </c>
      <c r="H224" t="s">
        <v>86</v>
      </c>
      <c r="I224" t="s">
        <v>115</v>
      </c>
      <c r="J224" s="2">
        <v>3.5</v>
      </c>
      <c r="K224" s="2">
        <v>24</v>
      </c>
      <c r="L224" t="s">
        <v>69</v>
      </c>
      <c r="M224">
        <v>2</v>
      </c>
      <c r="N224">
        <v>1</v>
      </c>
      <c r="O224">
        <v>1</v>
      </c>
    </row>
    <row r="225" spans="1:15">
      <c r="A225" t="s">
        <v>321</v>
      </c>
      <c r="B225" s="1">
        <v>46201</v>
      </c>
      <c r="C225" t="s">
        <v>104</v>
      </c>
      <c r="D225" t="s">
        <v>94</v>
      </c>
      <c r="E225" t="s">
        <v>56</v>
      </c>
      <c r="F225" t="s">
        <v>78</v>
      </c>
      <c r="G225" t="s">
        <v>79</v>
      </c>
      <c r="H225" t="s">
        <v>59</v>
      </c>
      <c r="I225" t="s">
        <v>111</v>
      </c>
      <c r="J225" s="2">
        <v>59.1</v>
      </c>
      <c r="K225" s="2">
        <v>48</v>
      </c>
      <c r="L225" t="s">
        <v>61</v>
      </c>
      <c r="M225">
        <v>3</v>
      </c>
      <c r="N225">
        <v>1</v>
      </c>
      <c r="O225">
        <v>0</v>
      </c>
    </row>
    <row r="226" spans="1:15">
      <c r="A226" t="s">
        <v>322</v>
      </c>
      <c r="B226" s="1">
        <v>46059</v>
      </c>
      <c r="C226" t="s">
        <v>71</v>
      </c>
      <c r="D226" t="s">
        <v>64</v>
      </c>
      <c r="E226" t="s">
        <v>65</v>
      </c>
      <c r="F226" t="s">
        <v>57</v>
      </c>
      <c r="G226" t="s">
        <v>67</v>
      </c>
      <c r="H226" t="s">
        <v>59</v>
      </c>
      <c r="I226" t="s">
        <v>76</v>
      </c>
      <c r="J226" s="2">
        <v>16.399999999999999</v>
      </c>
      <c r="K226" s="2">
        <v>48</v>
      </c>
      <c r="L226" t="s">
        <v>69</v>
      </c>
      <c r="M226">
        <v>4</v>
      </c>
      <c r="N226">
        <v>1</v>
      </c>
      <c r="O226">
        <v>1</v>
      </c>
    </row>
    <row r="227" spans="1:15">
      <c r="A227" t="s">
        <v>323</v>
      </c>
      <c r="B227" s="1">
        <v>46063</v>
      </c>
      <c r="C227" t="s">
        <v>71</v>
      </c>
      <c r="D227" t="s">
        <v>89</v>
      </c>
      <c r="E227" t="s">
        <v>90</v>
      </c>
      <c r="F227" t="s">
        <v>66</v>
      </c>
      <c r="G227" t="s">
        <v>58</v>
      </c>
      <c r="H227" t="s">
        <v>92</v>
      </c>
      <c r="I227" t="s">
        <v>119</v>
      </c>
      <c r="J227" s="2">
        <v>106.3</v>
      </c>
      <c r="K227" s="2">
        <v>72</v>
      </c>
      <c r="L227" t="s">
        <v>61</v>
      </c>
      <c r="M227">
        <v>5</v>
      </c>
      <c r="N227">
        <v>1</v>
      </c>
      <c r="O227">
        <v>0</v>
      </c>
    </row>
    <row r="228" spans="1:15">
      <c r="A228" t="s">
        <v>324</v>
      </c>
      <c r="B228" s="1">
        <v>46179</v>
      </c>
      <c r="C228" t="s">
        <v>104</v>
      </c>
      <c r="D228" t="s">
        <v>55</v>
      </c>
      <c r="E228" t="s">
        <v>56</v>
      </c>
      <c r="F228" t="s">
        <v>78</v>
      </c>
      <c r="G228" t="s">
        <v>67</v>
      </c>
      <c r="H228" t="s">
        <v>59</v>
      </c>
      <c r="I228" t="s">
        <v>111</v>
      </c>
      <c r="J228" s="2">
        <v>36.1</v>
      </c>
      <c r="K228" s="2">
        <v>48</v>
      </c>
      <c r="L228" t="s">
        <v>69</v>
      </c>
      <c r="M228">
        <v>4</v>
      </c>
      <c r="N228">
        <v>1</v>
      </c>
      <c r="O228">
        <v>1</v>
      </c>
    </row>
    <row r="229" spans="1:15">
      <c r="A229" t="s">
        <v>325</v>
      </c>
      <c r="B229" s="1">
        <v>46173</v>
      </c>
      <c r="C229" t="s">
        <v>63</v>
      </c>
      <c r="D229" t="s">
        <v>89</v>
      </c>
      <c r="E229" t="s">
        <v>90</v>
      </c>
      <c r="F229" t="s">
        <v>74</v>
      </c>
      <c r="G229" t="s">
        <v>58</v>
      </c>
      <c r="H229" t="s">
        <v>59</v>
      </c>
      <c r="I229" t="s">
        <v>87</v>
      </c>
      <c r="J229" s="2">
        <v>12.5</v>
      </c>
      <c r="K229" s="2">
        <v>48</v>
      </c>
      <c r="L229" t="s">
        <v>69</v>
      </c>
      <c r="M229">
        <v>5</v>
      </c>
      <c r="N229">
        <v>1</v>
      </c>
      <c r="O229">
        <v>1</v>
      </c>
    </row>
    <row r="230" spans="1:15">
      <c r="A230" t="s">
        <v>326</v>
      </c>
      <c r="B230" s="1">
        <v>46082</v>
      </c>
      <c r="C230" t="s">
        <v>54</v>
      </c>
      <c r="D230" t="s">
        <v>89</v>
      </c>
      <c r="E230" t="s">
        <v>90</v>
      </c>
      <c r="F230" t="s">
        <v>66</v>
      </c>
      <c r="G230" t="s">
        <v>75</v>
      </c>
      <c r="H230" t="s">
        <v>59</v>
      </c>
      <c r="I230" t="s">
        <v>119</v>
      </c>
      <c r="J230" s="2">
        <v>50.4</v>
      </c>
      <c r="K230" s="2">
        <v>48</v>
      </c>
      <c r="L230" t="s">
        <v>61</v>
      </c>
      <c r="M230">
        <v>3</v>
      </c>
      <c r="N230">
        <v>1</v>
      </c>
      <c r="O230">
        <v>0</v>
      </c>
    </row>
    <row r="231" spans="1:15">
      <c r="A231" t="s">
        <v>327</v>
      </c>
      <c r="B231" s="1">
        <v>46063</v>
      </c>
      <c r="C231" t="s">
        <v>71</v>
      </c>
      <c r="D231" t="s">
        <v>89</v>
      </c>
      <c r="E231" t="s">
        <v>90</v>
      </c>
      <c r="F231" t="s">
        <v>66</v>
      </c>
      <c r="G231" t="s">
        <v>58</v>
      </c>
      <c r="H231" t="s">
        <v>59</v>
      </c>
      <c r="I231" t="s">
        <v>109</v>
      </c>
      <c r="J231" s="2">
        <v>31.2</v>
      </c>
      <c r="K231" s="2">
        <v>48</v>
      </c>
      <c r="L231" t="s">
        <v>69</v>
      </c>
      <c r="M231">
        <v>5</v>
      </c>
      <c r="N231">
        <v>1</v>
      </c>
      <c r="O231">
        <v>1</v>
      </c>
    </row>
    <row r="232" spans="1:15">
      <c r="A232" t="s">
        <v>328</v>
      </c>
      <c r="B232" s="1">
        <v>46066</v>
      </c>
      <c r="C232" t="s">
        <v>71</v>
      </c>
      <c r="D232" t="s">
        <v>72</v>
      </c>
      <c r="E232" t="s">
        <v>73</v>
      </c>
      <c r="F232" t="s">
        <v>66</v>
      </c>
      <c r="G232" t="s">
        <v>58</v>
      </c>
      <c r="H232" t="s">
        <v>86</v>
      </c>
      <c r="I232" t="s">
        <v>60</v>
      </c>
      <c r="J232" s="2">
        <v>10.7</v>
      </c>
      <c r="K232" s="2">
        <v>24</v>
      </c>
      <c r="L232" t="s">
        <v>69</v>
      </c>
      <c r="M232">
        <v>3</v>
      </c>
      <c r="N232">
        <v>1</v>
      </c>
      <c r="O232">
        <v>1</v>
      </c>
    </row>
    <row r="233" spans="1:15">
      <c r="A233" t="s">
        <v>329</v>
      </c>
      <c r="B233" s="1">
        <v>46184</v>
      </c>
      <c r="C233" t="s">
        <v>104</v>
      </c>
      <c r="D233" t="s">
        <v>55</v>
      </c>
      <c r="E233" t="s">
        <v>56</v>
      </c>
      <c r="F233" t="s">
        <v>78</v>
      </c>
      <c r="G233" t="s">
        <v>75</v>
      </c>
      <c r="H233" t="s">
        <v>59</v>
      </c>
      <c r="I233" t="s">
        <v>109</v>
      </c>
      <c r="J233" s="2">
        <v>63.5</v>
      </c>
      <c r="K233" s="2">
        <v>48</v>
      </c>
      <c r="L233" t="s">
        <v>61</v>
      </c>
      <c r="M233">
        <v>3</v>
      </c>
      <c r="N233">
        <v>1</v>
      </c>
      <c r="O233">
        <v>0</v>
      </c>
    </row>
    <row r="234" spans="1:15">
      <c r="A234" t="s">
        <v>330</v>
      </c>
      <c r="B234" s="1">
        <v>46137</v>
      </c>
      <c r="C234" t="s">
        <v>82</v>
      </c>
      <c r="D234" t="s">
        <v>99</v>
      </c>
      <c r="E234" t="s">
        <v>100</v>
      </c>
      <c r="F234" t="s">
        <v>57</v>
      </c>
      <c r="G234" t="s">
        <v>58</v>
      </c>
      <c r="H234" t="s">
        <v>86</v>
      </c>
      <c r="I234" t="s">
        <v>80</v>
      </c>
      <c r="J234" s="2">
        <v>8.6</v>
      </c>
      <c r="K234" s="2">
        <v>24</v>
      </c>
      <c r="L234" t="s">
        <v>69</v>
      </c>
      <c r="M234">
        <v>5</v>
      </c>
      <c r="N234">
        <v>1</v>
      </c>
      <c r="O234">
        <v>1</v>
      </c>
    </row>
    <row r="235" spans="1:15">
      <c r="A235" t="s">
        <v>331</v>
      </c>
      <c r="B235" s="1">
        <v>46062</v>
      </c>
      <c r="C235" t="s">
        <v>71</v>
      </c>
      <c r="D235" t="s">
        <v>96</v>
      </c>
      <c r="E235" t="s">
        <v>97</v>
      </c>
      <c r="F235" t="s">
        <v>57</v>
      </c>
      <c r="G235" t="s">
        <v>79</v>
      </c>
      <c r="H235" t="s">
        <v>59</v>
      </c>
      <c r="I235" t="s">
        <v>83</v>
      </c>
      <c r="J235" s="2">
        <v>3.5</v>
      </c>
      <c r="K235" s="2">
        <v>48</v>
      </c>
      <c r="L235" t="s">
        <v>69</v>
      </c>
      <c r="M235">
        <v>5</v>
      </c>
      <c r="N235">
        <v>1</v>
      </c>
      <c r="O235">
        <v>1</v>
      </c>
    </row>
    <row r="236" spans="1:15">
      <c r="A236" t="s">
        <v>332</v>
      </c>
      <c r="B236" s="1">
        <v>46166</v>
      </c>
      <c r="C236" t="s">
        <v>63</v>
      </c>
      <c r="D236" t="s">
        <v>55</v>
      </c>
      <c r="E236" t="s">
        <v>56</v>
      </c>
      <c r="F236" t="s">
        <v>66</v>
      </c>
      <c r="G236" t="s">
        <v>67</v>
      </c>
      <c r="H236" t="s">
        <v>86</v>
      </c>
      <c r="I236" t="s">
        <v>111</v>
      </c>
      <c r="J236" s="2">
        <v>32.5</v>
      </c>
      <c r="K236" s="2">
        <v>24</v>
      </c>
      <c r="L236" t="s">
        <v>61</v>
      </c>
      <c r="M236">
        <v>3</v>
      </c>
      <c r="N236">
        <v>1</v>
      </c>
      <c r="O236">
        <v>0</v>
      </c>
    </row>
    <row r="237" spans="1:15">
      <c r="A237" t="s">
        <v>333</v>
      </c>
      <c r="B237" s="1">
        <v>46061</v>
      </c>
      <c r="C237" t="s">
        <v>71</v>
      </c>
      <c r="D237" t="s">
        <v>55</v>
      </c>
      <c r="E237" t="s">
        <v>56</v>
      </c>
      <c r="F237" t="s">
        <v>57</v>
      </c>
      <c r="G237" t="s">
        <v>67</v>
      </c>
      <c r="H237" t="s">
        <v>92</v>
      </c>
      <c r="I237" t="s">
        <v>111</v>
      </c>
      <c r="J237" s="2">
        <v>76.400000000000006</v>
      </c>
      <c r="K237" s="2">
        <v>72</v>
      </c>
      <c r="L237" t="s">
        <v>61</v>
      </c>
      <c r="M237">
        <v>2</v>
      </c>
      <c r="N237">
        <v>1</v>
      </c>
      <c r="O237">
        <v>0</v>
      </c>
    </row>
    <row r="238" spans="1:15">
      <c r="A238" t="s">
        <v>334</v>
      </c>
      <c r="B238" s="1">
        <v>46130</v>
      </c>
      <c r="C238" t="s">
        <v>82</v>
      </c>
      <c r="D238" t="s">
        <v>55</v>
      </c>
      <c r="E238" t="s">
        <v>56</v>
      </c>
      <c r="F238" t="s">
        <v>74</v>
      </c>
      <c r="G238" t="s">
        <v>79</v>
      </c>
      <c r="H238" t="s">
        <v>92</v>
      </c>
      <c r="I238" t="s">
        <v>80</v>
      </c>
      <c r="J238" s="2">
        <v>104.6</v>
      </c>
      <c r="K238" s="2">
        <v>72</v>
      </c>
      <c r="L238" t="s">
        <v>61</v>
      </c>
      <c r="M238">
        <v>1</v>
      </c>
      <c r="N238">
        <v>1</v>
      </c>
      <c r="O238">
        <v>0</v>
      </c>
    </row>
    <row r="239" spans="1:15">
      <c r="A239" t="s">
        <v>335</v>
      </c>
      <c r="B239" s="1">
        <v>46140</v>
      </c>
      <c r="C239" t="s">
        <v>82</v>
      </c>
      <c r="D239" t="s">
        <v>89</v>
      </c>
      <c r="E239" t="s">
        <v>90</v>
      </c>
      <c r="F239" t="s">
        <v>78</v>
      </c>
      <c r="G239" t="s">
        <v>79</v>
      </c>
      <c r="H239" t="s">
        <v>121</v>
      </c>
      <c r="I239" t="s">
        <v>109</v>
      </c>
      <c r="J239" s="2">
        <v>6.3</v>
      </c>
      <c r="K239" s="2">
        <v>8</v>
      </c>
      <c r="L239" t="s">
        <v>69</v>
      </c>
      <c r="M239">
        <v>3</v>
      </c>
      <c r="N239">
        <v>1</v>
      </c>
      <c r="O239">
        <v>1</v>
      </c>
    </row>
    <row r="240" spans="1:15">
      <c r="A240" t="s">
        <v>336</v>
      </c>
      <c r="B240" s="1">
        <v>46038</v>
      </c>
      <c r="C240" t="s">
        <v>85</v>
      </c>
      <c r="D240" t="s">
        <v>55</v>
      </c>
      <c r="E240" t="s">
        <v>56</v>
      </c>
      <c r="F240" t="s">
        <v>74</v>
      </c>
      <c r="G240" t="s">
        <v>79</v>
      </c>
      <c r="H240" t="s">
        <v>92</v>
      </c>
      <c r="I240" t="s">
        <v>60</v>
      </c>
      <c r="J240" s="2">
        <v>56.1</v>
      </c>
      <c r="K240" s="2">
        <v>72</v>
      </c>
      <c r="L240" t="s">
        <v>69</v>
      </c>
      <c r="M240">
        <v>3</v>
      </c>
      <c r="N240">
        <v>1</v>
      </c>
      <c r="O240">
        <v>1</v>
      </c>
    </row>
    <row r="241" spans="1:15">
      <c r="A241" t="s">
        <v>337</v>
      </c>
      <c r="B241" s="1">
        <v>46075</v>
      </c>
      <c r="C241" t="s">
        <v>71</v>
      </c>
      <c r="D241" t="s">
        <v>55</v>
      </c>
      <c r="E241" t="s">
        <v>56</v>
      </c>
      <c r="F241" t="s">
        <v>74</v>
      </c>
      <c r="G241" t="s">
        <v>79</v>
      </c>
      <c r="H241" t="s">
        <v>59</v>
      </c>
      <c r="I241" t="s">
        <v>111</v>
      </c>
      <c r="J241" s="2">
        <v>64.099999999999994</v>
      </c>
      <c r="K241" s="2">
        <v>48</v>
      </c>
      <c r="L241" t="s">
        <v>61</v>
      </c>
      <c r="M241">
        <v>2</v>
      </c>
      <c r="N241">
        <v>1</v>
      </c>
      <c r="O241">
        <v>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61"/>
  <sheetViews>
    <sheetView tabSelected="1" zoomScale="68" zoomScaleNormal="68" workbookViewId="0">
      <selection activeCell="C4" sqref="C4"/>
    </sheetView>
  </sheetViews>
  <sheetFormatPr defaultRowHeight="13.8"/>
  <cols>
    <col min="1" max="1" width="14" customWidth="1"/>
    <col min="2" max="2" width="23" customWidth="1"/>
    <col min="3" max="5" width="14" customWidth="1"/>
    <col min="6" max="6" width="23" customWidth="1"/>
    <col min="7" max="9" width="14" customWidth="1"/>
    <col min="10" max="10" width="23" customWidth="1"/>
    <col min="11" max="14" width="14" customWidth="1"/>
  </cols>
  <sheetData>
    <row r="1" spans="1:14" ht="20.85" customHeight="1">
      <c r="A1" s="11" t="s">
        <v>338</v>
      </c>
      <c r="B1" s="11"/>
      <c r="C1" s="11"/>
      <c r="D1" s="11"/>
      <c r="E1" s="11"/>
      <c r="F1" s="11"/>
      <c r="G1" s="11"/>
      <c r="H1" s="11"/>
      <c r="I1" s="11"/>
      <c r="J1" s="11"/>
      <c r="K1" s="11"/>
      <c r="L1" s="11"/>
      <c r="M1" s="11"/>
      <c r="N1" s="11"/>
    </row>
    <row r="2" spans="1:14" ht="20.85" customHeight="1">
      <c r="A2" s="11"/>
      <c r="B2" s="11"/>
      <c r="C2" s="11"/>
      <c r="D2" s="11"/>
      <c r="E2" s="11"/>
      <c r="F2" s="11"/>
      <c r="G2" s="11"/>
      <c r="H2" s="11"/>
      <c r="I2" s="11"/>
      <c r="J2" s="11"/>
      <c r="K2" s="11"/>
      <c r="L2" s="11"/>
      <c r="M2" s="11"/>
      <c r="N2" s="11"/>
    </row>
    <row r="4" spans="1:14">
      <c r="B4" s="19" t="s">
        <v>339</v>
      </c>
      <c r="C4" s="19"/>
      <c r="D4" s="19"/>
      <c r="F4" s="19" t="s">
        <v>340</v>
      </c>
      <c r="G4" s="19">
        <f>GETPIVOTDATA("Ticket ID",'KPI Summary'!$A$3,"SLA Status","Met")</f>
        <v>151</v>
      </c>
      <c r="H4" s="19"/>
      <c r="J4" s="19" t="s">
        <v>341</v>
      </c>
      <c r="K4" s="20">
        <f>GETPIVOTDATA("Average of Customer Satisfaction (1-5)",'KPI Summary'!$A$3)</f>
        <v>3.6416666666666666</v>
      </c>
      <c r="L4" s="19"/>
    </row>
    <row r="5" spans="1:14">
      <c r="B5" t="s">
        <v>342</v>
      </c>
      <c r="C5">
        <f>GETPIVOTDATA("Count of Ticket ID",'KPI Summary'!$A$3)</f>
        <v>240</v>
      </c>
      <c r="F5" t="s">
        <v>342</v>
      </c>
      <c r="J5" t="s">
        <v>342</v>
      </c>
    </row>
    <row r="7" spans="1:14">
      <c r="A7" s="8" t="s">
        <v>343</v>
      </c>
    </row>
    <row r="55" spans="1:1" ht="22.8">
      <c r="A55" s="18" t="s">
        <v>354</v>
      </c>
    </row>
    <row r="57" spans="1:1" ht="17.399999999999999">
      <c r="A57" s="15" t="s">
        <v>355</v>
      </c>
    </row>
    <row r="59" spans="1:1">
      <c r="A59" t="s">
        <v>356</v>
      </c>
    </row>
    <row r="61" spans="1:1">
      <c r="A61" t="s">
        <v>357</v>
      </c>
    </row>
  </sheetData>
  <mergeCells count="1">
    <mergeCell ref="A1:N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START HERE</vt:lpstr>
      <vt:lpstr>City-Wise Tickets Pivot Table</vt:lpstr>
      <vt:lpstr>Pivot Table-Tickets by Team an</vt:lpstr>
      <vt:lpstr>SLA Performance by Service Team</vt:lpstr>
      <vt:lpstr>KPI Summary</vt:lpstr>
      <vt:lpstr>Support Tickets</vt:lpstr>
      <vt:lpstr>Customer Service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shridevi Kamble</cp:lastModifiedBy>
  <dcterms:modified xsi:type="dcterms:W3CDTF">2026-10-18T08:43:51Z</dcterms:modified>
</cp:coreProperties>
</file>